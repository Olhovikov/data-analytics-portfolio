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fc739952e4b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bfe876ada3148b7"/>
    <x:sheet xmlns:r="http://schemas.openxmlformats.org/officeDocument/2006/relationships" name="Recommendations" sheetId="2" r:id="Rccc4e6aad190474f"/>
    <x:sheet xmlns:r="http://schemas.openxmlformats.org/officeDocument/2006/relationships" name="Assumptions" sheetId="3" r:id="Ra7e4a4bbd4d64ed2"/>
    <x:sheet xmlns:r="http://schemas.openxmlformats.org/officeDocument/2006/relationships" name="Inventory Trends" sheetId="4" r:id="R90b1dc5e77c64d6b"/>
    <x:sheet xmlns:r="http://schemas.openxmlformats.org/officeDocument/2006/relationships" name="Methodology" sheetId="5" r:id="Rd4ffdcdb9779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0%"/>
    <x:numFmt numFmtId="202" formatCode="#,##0.0"/>
    <x:numFmt numFmtId="203" formatCode="€#,##0.00"/>
    <x:numFmt numFmtId="204" formatCode="€#,##0"/>
    <x:numFmt numFmtId="205" formatCode="#,##0"/>
    <x:numFmt numFmtId="206" formatCode="@"/>
    <x:numFmt numFmtId="207" formatCode="0.0"/>
  </x:numFmts>
  <x:fonts count="18">
    <x:font>
      <x:sz val="11"/>
      <x:name val="Carlito"/>
    </x:font>
    <x:font>
      <x:b/>
      <x:sz val="19"/>
      <x:color rgb="FF263238"/>
      <x:name val="Carlito"/>
    </x:font>
    <x:font>
      <x:sz val="11"/>
      <x:color rgb="FF6B747A"/>
      <x:name val="Carlito"/>
    </x:font>
    <x:font>
      <x:b/>
      <x:sz val="11"/>
      <x:color rgb="FFFFFFFF"/>
      <x:name val="Carlito"/>
    </x:font>
    <x:font>
      <x:b/>
      <x:sz val="11"/>
      <x:color rgb="FF6B747A"/>
      <x:name val="Carlito"/>
    </x:font>
    <x:font>
      <x:b/>
      <x:sz val="18"/>
      <x:color rgb="FF263238"/>
      <x:name val="Carlito"/>
    </x:font>
    <x:font>
      <x:b/>
      <x:sz val="11"/>
      <x:color rgb="FF263238"/>
      <x:name val="Carlito"/>
    </x:font>
    <x:font>
      <x:b/>
      <x:sz val="11"/>
      <x:color rgb="FF344955"/>
      <x:name val="Carlito"/>
    </x:font>
    <x:font>
      <x:sz val="11"/>
      <x:color rgb="FF33413D"/>
      <x:name val="Arial"/>
    </x:font>
    <x:font>
      <x:b/>
      <x:sz val="11"/>
      <x:color rgb="FFFFFFFF"/>
      <x:name val="Arial"/>
    </x:font>
    <x:font>
      <x:b/>
      <x:sz val="11"/>
      <x:color rgb="FF245F46"/>
      <x:name val="Arial"/>
    </x:font>
    <x:font>
      <x:sz val="11"/>
      <x:color rgb="FF6E7C76"/>
      <x:name val="Arial"/>
    </x:font>
    <x:font>
      <x:b/>
      <x:sz val="11"/>
      <x:color rgb="FFC53A3A"/>
      <x:name val="Arial"/>
    </x:font>
    <x:font>
      <x:b/>
      <x:sz val="11"/>
      <x:color rgb="FFC98216"/>
      <x:name val="Arial"/>
    </x:font>
    <x:font>
      <x:sz val="11"/>
      <x:color rgb="FF33413D"/>
      <x:name val="Arial"/>
    </x:font>
    <x:font>
      <x:b/>
      <x:sz val="11"/>
      <x:color rgb="FF33413D"/>
      <x:name val="Arial"/>
    </x:font>
    <x:font>
      <x:b/>
      <x:sz val="19"/>
      <x:color rgb="FF33413D"/>
      <x:name val="Arial"/>
    </x:font>
    <x:font>
      <x:b/>
      <x:sz val="19"/>
      <x:color rgb="FF245F46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44955"/>
      </x:patternFill>
    </x:fill>
    <x:fill>
      <x:patternFill patternType="solid">
        <x:fgColor rgb="FFF7F8F8"/>
      </x:patternFill>
    </x:fill>
    <x:fill>
      <x:patternFill patternType="solid">
        <x:fgColor rgb="FFEAF1F5"/>
      </x:patternFill>
    </x:fill>
    <x:fill>
      <x:patternFill patternType="solid">
        <x:fgColor rgb="FFF4F6F5"/>
      </x:patternFill>
    </x:fill>
    <x:fill>
      <x:patternFill patternType="solid">
        <x:fgColor rgb="FFFFFFFF"/>
      </x:patternFill>
    </x:fill>
    <x:fill>
      <x:patternFill patternType="solid">
        <x:fgColor rgb="FF2F7D5A"/>
      </x:patternFill>
    </x:fill>
    <x:fill>
      <x:patternFill patternType="solid">
        <x:fgColor rgb="FFCDECDC"/>
      </x:patternFill>
    </x:fill>
    <x:fill>
      <x:patternFill patternType="solid">
        <x:fgColor rgb="FFFCE4E4"/>
      </x:patternFill>
    </x:fill>
    <x:fill>
      <x:patternFill patternType="solid">
        <x:fgColor rgb="FFFFF1D6"/>
      </x:patternFill>
    </x:fill>
    <x:fill>
      <x:patternFill patternType="solid">
        <x:fgColor rgb="FFEAF6F0"/>
      </x:patternFill>
    </x:fill>
    <x:fill>
      <x:patternFill patternType="solid">
        <x:fgColor rgb="FF9BD7B8"/>
      </x:patternFill>
    </x:fill>
  </x:fills>
  <x:borders count="48">
    <x:border/>
    <x:border>
      <x:bottom style="medium">
        <x:color rgb="FF356A8A"/>
      </x:bottom>
    </x:border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left style="thin">
        <x:color rgb="FFD8DEE3"/>
      </x:left>
      <x:top style="medium">
        <x:color rgb="FF356A8A"/>
      </x:top>
    </x:border>
    <x:border>
      <x:top style="medium">
        <x:color rgb="FF356A8A"/>
      </x:top>
    </x:border>
    <x:border>
      <x:right style="thin">
        <x:color rgb="FFD8DEE3"/>
      </x:right>
      <x:top style="medium">
        <x:color rgb="FF356A8A"/>
      </x:top>
    </x:border>
    <x:border>
      <x:left style="thin">
        <x:color rgb="FFD8DEE3"/>
      </x:left>
    </x:border>
    <x:border>
      <x:right style="thin">
        <x:color rgb="FFD8DEE3"/>
      </x:right>
    </x:border>
    <x:border>
      <x:left style="thin">
        <x:color rgb="FFD8DEE3"/>
      </x:left>
      <x:bottom style="thin">
        <x:color rgb="FFD8DEE3"/>
      </x:bottom>
    </x:border>
    <x:border>
      <x:right style="thin">
        <x:color rgb="FFD8DEE3"/>
      </x:right>
      <x:bottom style="thin">
        <x:color rgb="FFD8DEE3"/>
      </x:bottom>
    </x:border>
    <x:border>
      <x:left style="thin">
        <x:color rgb="FFD8DEE3"/>
      </x:left>
      <x:top style="medium">
        <x:color rgb="FFA54B4B"/>
      </x:top>
    </x:border>
    <x:border>
      <x:top style="medium">
        <x:color rgb="FFA54B4B"/>
      </x:top>
    </x:border>
    <x:border>
      <x:right style="thin">
        <x:color rgb="FFD8DEE3"/>
      </x:right>
      <x:top style="medium">
        <x:color rgb="FFA54B4B"/>
      </x:top>
    </x:border>
    <x:border>
      <x:left style="thin">
        <x:color rgb="FFD8DEE3"/>
      </x:left>
      <x:top style="medium">
        <x:color rgb="FF4B7B68"/>
      </x:top>
    </x:border>
    <x:border>
      <x:top style="medium">
        <x:color rgb="FF4B7B68"/>
      </x:top>
    </x:border>
    <x:border>
      <x:right style="thin">
        <x:color rgb="FFD8DEE3"/>
      </x:right>
      <x:top style="medium">
        <x:color rgb="FF4B7B68"/>
      </x:top>
    </x:border>
    <x:border>
      <x:left style="thin">
        <x:color rgb="FFD8DEE3"/>
      </x:left>
      <x:top style="medium">
        <x:color rgb="FFC96B32"/>
      </x:top>
    </x:border>
    <x:border>
      <x:top style="medium">
        <x:color rgb="FFC96B32"/>
      </x:top>
    </x:border>
    <x:border>
      <x:right style="thin">
        <x:color rgb="FFD8DEE3"/>
      </x:right>
      <x:top style="medium">
        <x:color rgb="FFC96B32"/>
      </x:top>
    </x:border>
    <x:border>
      <x:left style="thin">
        <x:color rgb="FFD8DEE3"/>
      </x:left>
      <x:top style="medium">
        <x:color rgb="FF344955"/>
      </x:top>
    </x:border>
    <x:border>
      <x:right style="thin">
        <x:color rgb="FFD8DEE3"/>
      </x:right>
      <x:top style="medium">
        <x:color rgb="FF344955"/>
      </x:top>
    </x:border>
    <x:border>
      <x:top style="thin">
        <x:color rgb="FFD8DEE3"/>
      </x:top>
    </x:border>
    <x:border>
      <x:bottom style="medium">
        <x:color rgb="FF4B7B68"/>
      </x:bottom>
    </x:border>
    <x:border>
      <x:bottom style="medium">
        <x:color rgb="FF344955"/>
      </x:bottom>
    </x:border>
    <x:border>
      <x:top style="thin">
        <x:color rgb="FFD8DEE3"/>
      </x:top>
      <x:bottom style="medium">
        <x:color rgb="FF344955"/>
      </x:bottom>
    </x:border>
    <x:border>
      <x:right style="thin">
        <x:color rgb="FFD6E2DC"/>
      </x:right>
    </x:border>
    <x:border>
      <x:bottom style="medium">
        <x:color rgb="FF2F7D5A"/>
      </x:bottom>
    </x:border>
    <x:border>
      <x:bottom style="thin">
        <x:color rgb="FFFFFFFF"/>
      </x:bottom>
    </x:border>
    <x:border>
      <x:right style="thin">
        <x:color rgb="FFD6E2DC"/>
      </x:right>
      <x:bottom style="thin">
        <x:color rgb="FFFFFFFF"/>
      </x:bottom>
    </x:border>
    <x:border>
      <x:bottom style="thin">
        <x:color rgb="FFD6E2DC"/>
      </x:bottom>
    </x:border>
    <x:border>
      <x:right style="thin">
        <x:color rgb="FFD6E2DC"/>
      </x:right>
      <x:bottom style="thin">
        <x:color rgb="FFD6E2DC"/>
      </x:bottom>
    </x:border>
    <x:border>
      <x:left style="thin">
        <x:color rgb="FFFFFFFF"/>
      </x:left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D6E2DC"/>
      </x:left>
      <x:top style="thin">
        <x:color rgb="FFD6E2DC"/>
      </x:top>
    </x:border>
    <x:border>
      <x:right style="thin">
        <x:color rgb="FFD6E2DC"/>
      </x:right>
      <x:top style="thin">
        <x:color rgb="FFD6E2DC"/>
      </x:top>
    </x:border>
    <x:border>
      <x:left style="thin">
        <x:color rgb="FFD6E2DC"/>
      </x:left>
    </x:border>
    <x:border>
      <x:left style="thin">
        <x:color rgb="FFD6E2DC"/>
      </x:left>
      <x:bottom style="thin">
        <x:color rgb="FFD6E2DC"/>
      </x:bottom>
    </x:border>
    <x:border>
      <x:top style="thin">
        <x:color rgb="FFD6E2DC"/>
      </x:top>
    </x:border>
    <x:border>
      <x:left style="thin">
        <x:color rgb="FFD6E2DC"/>
      </x:lef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6E2DC"/>
      </x:left>
      <x:right style="thin">
        <x:color rgb="FFD6E2DC"/>
      </x:right>
      <x:bottom style="thin">
        <x:color rgb="FFD6E2DC"/>
      </x:bottom>
    </x:border>
    <x:border>
      <x:right style="thin">
        <x:color rgb="FFD6E2DC"/>
      </x:right>
      <x:top style="thin">
        <x:color rgb="FFD6E2DC"/>
      </x:top>
      <x:bottom style="thin">
        <x:color rgb="FFD6E2DC"/>
      </x:bottom>
    </x:border>
    <x:border>
      <x:left style="thin">
        <x:color rgb="FFD6E2DC"/>
      </x:left>
      <x:right style="thin">
        <x:color rgb="FFD6E2DC"/>
      </x:right>
      <x:top style="thin">
        <x:color rgb="FFD6E2DC"/>
      </x:top>
      <x:bottom style="thin">
        <x:color rgb="FFD6E2DC"/>
      </x:bottom>
    </x:border>
    <x:border>
      <x:left style="thin">
        <x:color rgb="FFD6E2DC"/>
      </x:left>
      <x:top style="thin">
        <x:color rgb="FFD6E2DC"/>
      </x:top>
      <x:bottom style="thin">
        <x:color rgb="FFD6E2DC"/>
      </x:bottom>
    </x:border>
    <x:border>
      <x:top style="thin">
        <x:color rgb="FFD8DEE3"/>
      </x:top>
      <x:bottom style="thin">
        <x:color rgb="FFD6E2DC"/>
      </x:bottom>
    </x:border>
  </x:borders>
  <x:cellStyleXfs count="1">
    <x:xf numFmtId="0" fontId="0" fillId="0" borderId="0"/>
  </x:cellStyleXfs>
  <x:cellXfs count="3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2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2" fontId="0" fillId="0" borderId="3" xfId="0" applyNumberFormat="1" applyFont="1" applyFill="1" applyBorder="1"/>
    <x:xf numFmtId="203" fontId="0" fillId="0" borderId="3" xfId="0" applyNumberFormat="1" applyFont="1" applyFill="1" applyBorder="1"/>
    <x:xf numFmtId="204" fontId="0" fillId="0" borderId="3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5" fillId="2" borderId="2" xfId="0" applyNumberFormat="1" applyFont="1" applyFill="1" applyBorder="1"/>
    <x:xf numFmtId="0" fontId="5" fillId="2" borderId="10" xfId="0" applyNumberFormat="1" applyFont="1" applyFill="1" applyBorder="1"/>
    <x:xf numFmtId="0" fontId="5" fillId="2" borderId="7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/>
    </x:xf>
    <x:xf numFmtId="0" fontId="5" fillId="2" borderId="8" xfId="0" applyNumberFormat="1" applyFont="1" applyFill="1" applyBorder="1" applyAlignment="1">
      <x:alignment horizontal="center"/>
    </x:xf>
    <x:xf numFmtId="0" fontId="5" fillId="2" borderId="9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/>
    </x:xf>
    <x:xf numFmtId="0" fontId="5" fillId="2" borderId="10" xfId="0" applyNumberFormat="1" applyFont="1" applyFill="1" applyBorder="1" applyAlignment="1">
      <x:alignment horizontal="center"/>
    </x:xf>
    <x:xf numFmtId="0" fontId="5" fillId="2" borderId="7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8" xfId="0" applyNumberFormat="1" applyFont="1" applyFill="1" applyBorder="1" applyAlignment="1">
      <x:alignment horizontal="center" vertical="center"/>
    </x:xf>
    <x:xf numFmtId="0" fontId="5" fillId="2" borderId="9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10" xfId="0" applyNumberFormat="1" applyFont="1" applyFill="1" applyBorder="1" applyAlignment="1">
      <x:alignment horizontal="center" vertical="center"/>
    </x:xf>
    <x:xf numFmtId="205" fontId="5" fillId="2" borderId="7" xfId="0" applyNumberFormat="1" applyFont="1" applyFill="1" applyBorder="1" applyAlignment="1">
      <x:alignment horizontal="center" vertical="center"/>
    </x:xf>
    <x:xf numFmtId="205" fontId="5" fillId="2" borderId="0" xfId="0" applyNumberFormat="1" applyFont="1" applyFill="1" applyBorder="1" applyAlignment="1">
      <x:alignment horizontal="center" vertical="center"/>
    </x:xf>
    <x:xf numFmtId="205" fontId="5" fillId="2" borderId="8" xfId="0" applyNumberFormat="1" applyFont="1" applyFill="1" applyBorder="1" applyAlignment="1">
      <x:alignment horizontal="center" vertical="center"/>
    </x:xf>
    <x:xf numFmtId="205" fontId="5" fillId="2" borderId="9" xfId="0" applyNumberFormat="1" applyFont="1" applyFill="1" applyBorder="1" applyAlignment="1">
      <x:alignment horizontal="center" vertical="center"/>
    </x:xf>
    <x:xf numFmtId="205" fontId="5" fillId="2" borderId="2" xfId="0" applyNumberFormat="1" applyFont="1" applyFill="1" applyBorder="1" applyAlignment="1">
      <x:alignment horizontal="center" vertical="center"/>
    </x:xf>
    <x:xf numFmtId="205" fontId="5" fillId="2" borderId="10" xfId="0" applyNumberFormat="1" applyFont="1" applyFill="1" applyBorder="1" applyAlignment="1">
      <x:alignment horizontal="center" vertical="center"/>
    </x:xf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1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horizontal="center"/>
    </x:xf>
    <x:xf numFmtId="0" fontId="4" fillId="4" borderId="13" xfId="0" applyNumberFormat="1" applyFont="1" applyFill="1" applyBorder="1" applyAlignment="1">
      <x:alignment horizontal="center"/>
    </x:xf>
    <x:xf numFmtId="0" fontId="4" fillId="4" borderId="11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 applyAlignment="1">
      <x:alignment horizontal="center" vertical="center"/>
    </x:xf>
    <x:xf numFmtId="0" fontId="4" fillId="4" borderId="13" xfId="0" applyNumberFormat="1" applyFont="1" applyFill="1" applyBorder="1" applyAlignment="1">
      <x:alignment horizontal="center" vertical="center"/>
    </x:xf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0" fontId="4" fillId="4" borderId="16" xfId="0" applyNumberFormat="1" applyFont="1" applyFill="1" applyBorder="1"/>
    <x:xf numFmtId="0" fontId="4" fillId="4" borderId="14" xfId="0" applyNumberFormat="1" applyFont="1" applyFill="1" applyBorder="1" applyAlignment="1">
      <x:alignment horizontal="center"/>
    </x:xf>
    <x:xf numFmtId="0" fontId="4" fillId="4" borderId="15" xfId="0" applyNumberFormat="1" applyFont="1" applyFill="1" applyBorder="1" applyAlignment="1">
      <x:alignment horizontal="center"/>
    </x:xf>
    <x:xf numFmtId="0" fontId="4" fillId="4" borderId="16" xfId="0" applyNumberFormat="1" applyFont="1" applyFill="1" applyBorder="1" applyAlignment="1">
      <x:alignment horizontal="center"/>
    </x:xf>
    <x:xf numFmtId="0" fontId="4" fillId="4" borderId="14" xfId="0" applyNumberFormat="1" applyFont="1" applyFill="1" applyBorder="1" applyAlignment="1">
      <x:alignment horizontal="center" vertical="center"/>
    </x:xf>
    <x:xf numFmtId="0" fontId="4" fillId="4" borderId="15" xfId="0" applyNumberFormat="1" applyFont="1" applyFill="1" applyBorder="1" applyAlignment="1">
      <x:alignment horizontal="center" vertical="center"/>
    </x:xf>
    <x:xf numFmtId="0" fontId="4" fillId="4" borderId="16" xfId="0" applyNumberFormat="1" applyFont="1" applyFill="1" applyBorder="1" applyAlignment="1">
      <x:alignment horizontal="center" vertical="center"/>
    </x:xf>
    <x:xf numFmtId="0" fontId="4" fillId="4" borderId="17" xfId="0" applyNumberFormat="1" applyFont="1" applyFill="1" applyBorder="1"/>
    <x:xf numFmtId="0" fontId="4" fillId="4" borderId="18" xfId="0" applyNumberFormat="1" applyFont="1" applyFill="1" applyBorder="1"/>
    <x:xf numFmtId="0" fontId="4" fillId="4" borderId="19" xfId="0" applyNumberFormat="1" applyFont="1" applyFill="1" applyBorder="1"/>
    <x:xf numFmtId="0" fontId="4" fillId="4" borderId="17" xfId="0" applyNumberFormat="1" applyFont="1" applyFill="1" applyBorder="1" applyAlignment="1">
      <x:alignment horizontal="center"/>
    </x:xf>
    <x:xf numFmtId="0" fontId="4" fillId="4" borderId="18" xfId="0" applyNumberFormat="1" applyFont="1" applyFill="1" applyBorder="1" applyAlignment="1">
      <x:alignment horizontal="center"/>
    </x:xf>
    <x:xf numFmtId="0" fontId="4" fillId="4" borderId="19" xfId="0" applyNumberFormat="1" applyFont="1" applyFill="1" applyBorder="1" applyAlignment="1">
      <x:alignment horizontal="center"/>
    </x:xf>
    <x:xf numFmtId="0" fontId="4" fillId="4" borderId="17" xfId="0" applyNumberFormat="1" applyFont="1" applyFill="1" applyBorder="1" applyAlignment="1">
      <x:alignment horizontal="center" vertical="center"/>
    </x:xf>
    <x:xf numFmtId="0" fontId="4" fillId="4" borderId="18" xfId="0" applyNumberFormat="1" applyFont="1" applyFill="1" applyBorder="1" applyAlignment="1">
      <x:alignment horizontal="center" vertical="center"/>
    </x:xf>
    <x:xf numFmtId="0" fontId="4" fillId="4" borderId="19" xfId="0" applyNumberFormat="1" applyFont="1" applyFill="1" applyBorder="1" applyAlignment="1">
      <x:alignment horizontal="center" vertical="center"/>
    </x:xf>
    <x:xf numFmtId="204" fontId="5" fillId="2" borderId="7" xfId="0" applyNumberFormat="1" applyFont="1" applyFill="1" applyBorder="1" applyAlignment="1">
      <x:alignment horizontal="center" vertical="center"/>
    </x:xf>
    <x:xf numFmtId="204" fontId="5" fillId="2" borderId="0" xfId="0" applyNumberFormat="1" applyFont="1" applyFill="1" applyBorder="1" applyAlignment="1">
      <x:alignment horizontal="center" vertical="center"/>
    </x:xf>
    <x:xf numFmtId="204" fontId="5" fillId="2" borderId="8" xfId="0" applyNumberFormat="1" applyFont="1" applyFill="1" applyBorder="1" applyAlignment="1">
      <x:alignment horizontal="center" vertical="center"/>
    </x:xf>
    <x:xf numFmtId="204" fontId="5" fillId="2" borderId="9" xfId="0" applyNumberFormat="1" applyFont="1" applyFill="1" applyBorder="1" applyAlignment="1">
      <x:alignment horizontal="center" vertical="center"/>
    </x:xf>
    <x:xf numFmtId="204" fontId="5" fillId="2" borderId="2" xfId="0" applyNumberFormat="1" applyFont="1" applyFill="1" applyBorder="1" applyAlignment="1">
      <x:alignment horizontal="center" vertical="center"/>
    </x:xf>
    <x:xf numFmtId="204" fontId="5" fillId="2" borderId="10" xfId="0" applyNumberFormat="1" applyFont="1" applyFill="1" applyBorder="1" applyAlignment="1">
      <x:alignment horizontal="center" vertical="center"/>
    </x:xf>
    <x:xf numFmtId="0" fontId="4" fillId="4" borderId="20" xfId="0" applyNumberFormat="1" applyFont="1" applyFill="1" applyBorder="1"/>
    <x:xf numFmtId="0" fontId="4" fillId="4" borderId="21" xfId="0" applyNumberFormat="1" applyFont="1" applyFill="1" applyBorder="1"/>
    <x:xf numFmtId="0" fontId="4" fillId="4" borderId="20" xfId="0" applyNumberFormat="1" applyFont="1" applyFill="1" applyBorder="1" applyAlignment="1">
      <x:alignment horizontal="center"/>
    </x:xf>
    <x:xf numFmtId="0" fontId="4" fillId="4" borderId="21" xfId="0" applyNumberFormat="1" applyFont="1" applyFill="1" applyBorder="1" applyAlignment="1">
      <x:alignment horizontal="center"/>
    </x:xf>
    <x:xf numFmtId="0" fontId="4" fillId="4" borderId="20" xfId="0" applyNumberFormat="1" applyFont="1" applyFill="1" applyBorder="1" applyAlignment="1">
      <x:alignment horizontal="center" vertical="center"/>
    </x:xf>
    <x:xf numFmtId="0" fontId="4" fillId="4" borderId="2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2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6" fillId="5" borderId="23" xfId="0" applyNumberFormat="1" applyFont="1" applyFill="1" applyBorder="1"/>
    <x:xf numFmtId="0" fontId="6" fillId="5" borderId="23" xfId="0" applyNumberFormat="1" applyFont="1" applyFill="1" applyBorder="1" applyAlignment="1">
      <x:alignment vertical="center"/>
    </x:xf>
    <x:xf numFmtId="0" fontId="6" fillId="5" borderId="24" xfId="0" applyNumberFormat="1" applyFont="1" applyFill="1" applyBorder="1"/>
    <x:xf numFmtId="0" fontId="6" fillId="5" borderId="24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6" fillId="5" borderId="2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/>
    <x:xf numFmtId="202" fontId="0" fillId="0" borderId="25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left"/>
    </x:xf>
    <x:xf numFmtId="0" fontId="8" fillId="6" borderId="0" xfId="0" applyNumberFormat="1" applyFont="1" applyFill="1" applyBorder="1" applyAlignment="1">
      <x:alignment horizontal="left" vertical="center"/>
    </x:xf>
    <x:xf numFmtId="0" fontId="8" fillId="7" borderId="0" xfId="0" applyNumberFormat="1" applyFont="1" applyFill="1" applyBorder="1" applyAlignment="1">
      <x:alignment horizontal="left" vertical="center"/>
    </x:xf>
    <x:xf numFmtId="0" fontId="8" fillId="7" xfId="0" applyNumberFormat="1" applyFont="1" applyFill="1" applyBorder="0" applyAlignment="1">
      <x:alignment horizontal="left" vertical="center"/>
    </x:xf>
    <x:xf numFmtId="0" fontId="8" fillId="7" borderId="26" xfId="0" applyNumberFormat="1" applyFont="1" applyFill="1" applyBorder="1" applyAlignment="1">
      <x:alignment horizontal="left" vertical="center"/>
    </x:xf>
    <x:xf numFmtId="0" fontId="8" fillId="8" xfId="0" applyNumberFormat="1" applyFont="1" applyFill="1" applyBorder="0" applyAlignment="1">
      <x:alignment horizontal="left" vertical="center"/>
    </x:xf>
    <x:xf numFmtId="0" fontId="8" fillId="8" borderId="26" xfId="0" applyNumberFormat="1" applyFont="1" applyFill="1" applyBorder="1" applyAlignment="1">
      <x:alignment horizontal="left" vertical="center"/>
    </x:xf>
    <x:xf numFmtId="0" fontId="9" fillId="8" xfId="0" applyNumberFormat="1" applyFont="1" applyFill="1" applyBorder="0" applyAlignment="1">
      <x:alignment horizontal="left" vertical="center"/>
    </x:xf>
    <x:xf numFmtId="0" fontId="9" fillId="8" borderId="26" xfId="0" applyNumberFormat="1" applyFont="1" applyFill="1" applyBorder="1" applyAlignment="1">
      <x:alignment horizontal="left" vertical="center"/>
    </x:xf>
    <x:xf numFmtId="0" fontId="9" fillId="8" xfId="0" applyNumberFormat="1" applyFont="1" applyFill="1" applyBorder="0" applyAlignment="1">
      <x:alignment horizontal="left" vertical="center" wrapText="1"/>
    </x:xf>
    <x:xf numFmtId="0" fontId="9" fillId="8" borderId="26" xfId="0" applyNumberFormat="1" applyFont="1" applyFill="1" applyBorder="1" applyAlignment="1">
      <x:alignment horizontal="left" vertical="center" wrapText="1"/>
    </x:xf>
    <x:xf numFmtId="0" fontId="9" fillId="8" xfId="0" applyNumberFormat="1" applyFont="1" applyFill="1" applyBorder="0" applyAlignment="1">
      <x:alignment horizontal="center" vertical="center" wrapText="1"/>
    </x:xf>
    <x:xf numFmtId="0" fontId="9" fillId="8" borderId="26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10" fillId="9" xfId="0" applyNumberFormat="1" applyFont="1" applyFill="1" applyBorder="0" applyAlignment="1">
      <x:alignment horizontal="left" vertical="center"/>
    </x:xf>
    <x:xf numFmtId="0" fontId="10" fillId="9" borderId="27" xfId="0" applyNumberFormat="1" applyFont="1" applyFill="1" applyBorder="1" applyAlignment="1">
      <x:alignment horizontal="left" vertical="center"/>
    </x:xf>
    <x:xf numFmtId="0" fontId="11" fillId="7" borderId="0" xfId="0" applyNumberFormat="1" applyFont="1" applyFill="1" applyBorder="1" applyAlignment="1">
      <x:alignment horizontal="left" vertical="center"/>
    </x:xf>
    <x:xf numFmtId="0" fontId="9" fillId="8" xfId="0" applyNumberFormat="1" applyFont="1" applyFill="1" applyBorder="0" applyAlignment="1">
      <x:alignment horizontal="center" vertical="center"/>
    </x:xf>
    <x:xf numFmtId="0" fontId="9" fillId="8" borderId="26" xfId="0" applyNumberFormat="1" applyFont="1" applyFill="1" applyBorder="1" applyAlignment="1">
      <x:alignment horizontal="center" vertical="center"/>
    </x:xf>
    <x:xf numFmtId="0" fontId="8" fillId="10" xfId="0" applyNumberFormat="1" applyFont="1" applyFill="1" applyBorder="0" applyAlignment="1">
      <x:alignment horizontal="left" vertical="center"/>
    </x:xf>
    <x:xf numFmtId="0" fontId="8" fillId="10" borderId="26" xfId="0" applyNumberFormat="1" applyFont="1" applyFill="1" applyBorder="1" applyAlignment="1">
      <x:alignment horizontal="left" vertical="center"/>
    </x:xf>
    <x:xf numFmtId="0" fontId="12" fillId="10" xfId="0" applyNumberFormat="1" applyFont="1" applyFill="1" applyBorder="0" applyAlignment="1">
      <x:alignment horizontal="left" vertical="center"/>
    </x:xf>
    <x:xf numFmtId="0" fontId="12" fillId="10" borderId="26" xfId="0" applyNumberFormat="1" applyFont="1" applyFill="1" applyBorder="1" applyAlignment="1">
      <x:alignment horizontal="left" vertical="center"/>
    </x:xf>
    <x:xf numFmtId="0" fontId="12" fillId="10" borderId="28" xfId="0" applyNumberFormat="1" applyFont="1" applyFill="1" applyBorder="1" applyAlignment="1">
      <x:alignment horizontal="left" vertical="center"/>
    </x:xf>
    <x:xf numFmtId="0" fontId="12" fillId="10" borderId="29" xfId="0" applyNumberFormat="1" applyFont="1" applyFill="1" applyBorder="1" applyAlignment="1">
      <x:alignment horizontal="left" vertical="center"/>
    </x:xf>
    <x:xf numFmtId="0" fontId="8" fillId="11" xfId="0" applyNumberFormat="1" applyFont="1" applyFill="1" applyBorder="0" applyAlignment="1">
      <x:alignment horizontal="left" vertical="center"/>
    </x:xf>
    <x:xf numFmtId="0" fontId="8" fillId="11" borderId="26" xfId="0" applyNumberFormat="1" applyFont="1" applyFill="1" applyBorder="1" applyAlignment="1">
      <x:alignment horizontal="left" vertical="center"/>
    </x:xf>
    <x:xf numFmtId="0" fontId="13" fillId="11" xfId="0" applyNumberFormat="1" applyFont="1" applyFill="1" applyBorder="0" applyAlignment="1">
      <x:alignment horizontal="left" vertical="center"/>
    </x:xf>
    <x:xf numFmtId="0" fontId="13" fillId="11" borderId="26" xfId="0" applyNumberFormat="1" applyFont="1" applyFill="1" applyBorder="1" applyAlignment="1">
      <x:alignment horizontal="left" vertical="center"/>
    </x:xf>
    <x:xf numFmtId="0" fontId="13" fillId="11" borderId="28" xfId="0" applyNumberFormat="1" applyFont="1" applyFill="1" applyBorder="1" applyAlignment="1">
      <x:alignment horizontal="left" vertical="center"/>
    </x:xf>
    <x:xf numFmtId="0" fontId="13" fillId="11" borderId="29" xfId="0" applyNumberFormat="1" applyFont="1" applyFill="1" applyBorder="1" applyAlignment="1">
      <x:alignment horizontal="left" vertical="center"/>
    </x:xf>
    <x:xf numFmtId="0" fontId="8" fillId="9" xfId="0" applyNumberFormat="1" applyFont="1" applyFill="1" applyBorder="0" applyAlignment="1">
      <x:alignment horizontal="left" vertical="center"/>
    </x:xf>
    <x:xf numFmtId="0" fontId="8" fillId="9" borderId="26" xfId="0" applyNumberFormat="1" applyFont="1" applyFill="1" applyBorder="1" applyAlignment="1">
      <x:alignment horizontal="left" vertical="center"/>
    </x:xf>
    <x:xf numFmtId="0" fontId="10" fillId="9" borderId="26" xfId="0" applyNumberFormat="1" applyFont="1" applyFill="1" applyBorder="1" applyAlignment="1">
      <x:alignment horizontal="left" vertical="center"/>
    </x:xf>
    <x:xf numFmtId="0" fontId="10" fillId="9" borderId="28" xfId="0" applyNumberFormat="1" applyFont="1" applyFill="1" applyBorder="1" applyAlignment="1">
      <x:alignment horizontal="left" vertical="center"/>
    </x:xf>
    <x:xf numFmtId="0" fontId="10" fillId="9" borderId="29" xfId="0" applyNumberFormat="1" applyFont="1" applyFill="1" applyBorder="1" applyAlignment="1">
      <x:alignment horizontal="left" vertical="center"/>
    </x:xf>
    <x:xf numFmtId="0" fontId="12" fillId="10" borderId="29" xfId="0" applyNumberFormat="1" applyFont="1" applyFill="1" applyBorder="1" applyAlignment="1">
      <x:alignment horizontal="right" vertical="center"/>
    </x:xf>
    <x:xf numFmtId="0" fontId="13" fillId="11" borderId="29" xfId="0" applyNumberFormat="1" applyFont="1" applyFill="1" applyBorder="1" applyAlignment="1">
      <x:alignment horizontal="right" vertical="center"/>
    </x:xf>
    <x:xf numFmtId="0" fontId="10" fillId="9" borderId="29" xfId="0" applyNumberFormat="1" applyFont="1" applyFill="1" applyBorder="1" applyAlignment="1">
      <x:alignment horizontal="right" vertical="center"/>
    </x:xf>
    <x:xf numFmtId="0" fontId="8" fillId="12" xfId="0" applyNumberFormat="1" applyFont="1" applyFill="1" applyBorder="0" applyAlignment="1">
      <x:alignment horizontal="left" vertical="center"/>
    </x:xf>
    <x:xf numFmtId="0" fontId="8" fillId="12" borderId="26" xfId="0" applyNumberFormat="1" applyFont="1" applyFill="1" applyBorder="1" applyAlignment="1">
      <x:alignment horizontal="left" vertical="center"/>
    </x:xf>
    <x:xf numFmtId="0" fontId="8" fillId="12" borderId="30" xfId="0" applyNumberFormat="1" applyFont="1" applyFill="1" applyBorder="1" applyAlignment="1">
      <x:alignment horizontal="left" vertical="center"/>
    </x:xf>
    <x:xf numFmtId="0" fontId="8" fillId="12" borderId="31" xfId="0" applyNumberFormat="1" applyFont="1" applyFill="1" applyBorder="1" applyAlignment="1">
      <x:alignment horizontal="left" vertical="center"/>
    </x:xf>
    <x:xf numFmtId="0" fontId="8" fillId="9" borderId="31" xfId="0" applyNumberFormat="1" applyFont="1" applyFill="1" applyBorder="1" applyAlignment="1">
      <x:alignment horizontal="left" vertical="center"/>
    </x:xf>
    <x:xf numFmtId="0" fontId="10" fillId="9" borderId="31" xfId="0" applyNumberFormat="1" applyFont="1" applyFill="1" applyBorder="1" applyAlignment="1">
      <x:alignment horizontal="left" vertical="center"/>
    </x:xf>
    <x:xf numFmtId="200" fontId="10" fillId="9" borderId="31" xfId="0" applyNumberFormat="1" applyFont="1" applyFill="1" applyBorder="1" applyAlignment="1">
      <x:alignment horizontal="left" vertical="center"/>
    </x:xf>
    <x:xf numFmtId="200" fontId="10" fillId="9" borderId="31" xfId="0" applyNumberFormat="1" applyFont="1" applyFill="1" applyBorder="1" applyAlignment="1">
      <x:alignment horizontal="right" vertical="center"/>
    </x:xf>
    <x:xf numFmtId="0" fontId="8" fillId="7" borderId="30" xfId="0" applyNumberFormat="1" applyFont="1" applyFill="1" applyBorder="1" applyAlignment="1">
      <x:alignment horizontal="left" vertical="center"/>
    </x:xf>
    <x:xf numFmtId="0" fontId="8" fillId="7" borderId="31" xfId="0" applyNumberFormat="1" applyFont="1" applyFill="1" applyBorder="1" applyAlignment="1">
      <x:alignment horizontal="left" vertical="center"/>
    </x:xf>
    <x:xf numFmtId="201" fontId="10" fillId="9" borderId="31" xfId="0" applyNumberFormat="1" applyFont="1" applyFill="1" applyBorder="1" applyAlignment="1">
      <x:alignment horizontal="left" vertical="center"/>
    </x:xf>
    <x:xf numFmtId="201" fontId="10" fillId="9" borderId="31" xfId="0" applyNumberFormat="1" applyFont="1" applyFill="1" applyBorder="1" applyAlignment="1">
      <x:alignment horizontal="right" vertical="center"/>
    </x:xf>
    <x:xf numFmtId="0" fontId="10" fillId="12" xfId="0" applyNumberFormat="1" applyFont="1" applyFill="1" applyBorder="0" applyAlignment="1">
      <x:alignment horizontal="left" vertical="center"/>
    </x:xf>
    <x:xf numFmtId="0" fontId="10" fillId="12" borderId="26" xfId="0" applyNumberFormat="1" applyFont="1" applyFill="1" applyBorder="1" applyAlignment="1">
      <x:alignment horizontal="left" vertical="center"/>
    </x:xf>
    <x:xf numFmtId="0" fontId="10" fillId="12" borderId="32" xfId="0" applyNumberFormat="1" applyFont="1" applyFill="1" applyBorder="1" applyAlignment="1">
      <x:alignment horizontal="left" vertical="center"/>
    </x:xf>
    <x:xf numFmtId="0" fontId="10" fillId="12" borderId="33" xfId="0" applyNumberFormat="1" applyFont="1" applyFill="1" applyBorder="1" applyAlignment="1">
      <x:alignment horizontal="left" vertical="center"/>
    </x:xf>
    <x:xf numFmtId="0" fontId="10" fillId="12" borderId="34" xfId="0" applyNumberFormat="1" applyFont="1" applyFill="1" applyBorder="1" applyAlignment="1">
      <x:alignment horizontal="left" vertical="center"/>
    </x:xf>
    <x:xf numFmtId="0" fontId="10" fillId="12" borderId="35" xfId="0" applyNumberFormat="1" applyFont="1" applyFill="1" applyBorder="1" applyAlignment="1">
      <x:alignment horizontal="left" vertical="center"/>
    </x:xf>
    <x:xf numFmtId="0" fontId="10" fillId="12" borderId="32" xfId="0" applyNumberFormat="1" applyFont="1" applyFill="1" applyBorder="1" applyAlignment="1">
      <x:alignment horizontal="left" vertical="center" wrapText="1"/>
    </x:xf>
    <x:xf numFmtId="0" fontId="10" fillId="12" borderId="33" xfId="0" applyNumberFormat="1" applyFont="1" applyFill="1" applyBorder="1" applyAlignment="1">
      <x:alignment horizontal="left" vertical="center" wrapText="1"/>
    </x:xf>
    <x:xf numFmtId="0" fontId="10" fillId="12" borderId="34" xfId="0" applyNumberFormat="1" applyFont="1" applyFill="1" applyBorder="1" applyAlignment="1">
      <x:alignment horizontal="left" vertical="center" wrapText="1"/>
    </x:xf>
    <x:xf numFmtId="0" fontId="10" fillId="12" borderId="35" xfId="0" applyNumberFormat="1" applyFont="1" applyFill="1" applyBorder="1" applyAlignment="1">
      <x:alignment horizontal="left" vertical="center" wrapText="1"/>
    </x:xf>
    <x:xf numFmtId="0" fontId="10" fillId="12" borderId="32" xfId="0" applyNumberFormat="1" applyFont="1" applyFill="1" applyBorder="1" applyAlignment="1">
      <x:alignment horizontal="center" vertical="center" wrapText="1"/>
    </x:xf>
    <x:xf numFmtId="0" fontId="10" fillId="12" borderId="33" xfId="0" applyNumberFormat="1" applyFont="1" applyFill="1" applyBorder="1" applyAlignment="1">
      <x:alignment horizontal="center" vertical="center" wrapText="1"/>
    </x:xf>
    <x:xf numFmtId="0" fontId="10" fillId="12" borderId="34" xfId="0" applyNumberFormat="1" applyFont="1" applyFill="1" applyBorder="1" applyAlignment="1">
      <x:alignment horizontal="center" vertical="center" wrapText="1"/>
    </x:xf>
    <x:xf numFmtId="0" fontId="10" fillId="12" borderId="35" xfId="0" applyNumberFormat="1" applyFont="1" applyFill="1" applyBorder="1" applyAlignment="1">
      <x:alignment horizontal="center" vertical="center" wrapText="1"/>
    </x:xf>
    <x:xf numFmtId="0" fontId="11" fillId="7" xfId="0" applyNumberFormat="1" applyFont="1" applyFill="1" applyBorder="0" applyAlignment="1">
      <x:alignment horizontal="left" vertical="center"/>
    </x:xf>
    <x:xf numFmtId="0" fontId="11" fillId="7" borderId="26" xfId="0" applyNumberFormat="1" applyFont="1" applyFill="1" applyBorder="1" applyAlignment="1">
      <x:alignment horizontal="left" vertical="center"/>
    </x:xf>
    <x:xf numFmtId="0" fontId="11" fillId="7" borderId="36" xfId="0" applyNumberFormat="1" applyFont="1" applyFill="1" applyBorder="1" applyAlignment="1">
      <x:alignment horizontal="left" vertical="center"/>
    </x:xf>
    <x:xf numFmtId="0" fontId="11" fillId="7" borderId="37" xfId="0" applyNumberFormat="1" applyFont="1" applyFill="1" applyBorder="1" applyAlignment="1">
      <x:alignment horizontal="left" vertical="center"/>
    </x:xf>
    <x:xf numFmtId="0" fontId="11" fillId="7" borderId="38" xfId="0" applyNumberFormat="1" applyFont="1" applyFill="1" applyBorder="1" applyAlignment="1">
      <x:alignment horizontal="left" vertical="center"/>
    </x:xf>
    <x:xf numFmtId="0" fontId="11" fillId="7" borderId="39" xfId="0" applyNumberFormat="1" applyFont="1" applyFill="1" applyBorder="1" applyAlignment="1">
      <x:alignment horizontal="left" vertical="center"/>
    </x:xf>
    <x:xf numFmtId="0" fontId="11" fillId="7" borderId="31" xfId="0" applyNumberFormat="1" applyFont="1" applyFill="1" applyBorder="1" applyAlignment="1">
      <x:alignment horizontal="left" vertical="center"/>
    </x:xf>
    <x:xf numFmtId="0" fontId="11" fillId="7" borderId="36" xfId="0" applyNumberFormat="1" applyFont="1" applyFill="1" applyBorder="1" applyAlignment="1">
      <x:alignment horizontal="left" vertical="center" wrapText="1"/>
    </x:xf>
    <x:xf numFmtId="0" fontId="11" fillId="7" borderId="37" xfId="0" applyNumberFormat="1" applyFont="1" applyFill="1" applyBorder="1" applyAlignment="1">
      <x:alignment horizontal="left" vertical="center" wrapText="1"/>
    </x:xf>
    <x:xf numFmtId="0" fontId="11" fillId="7" borderId="38" xfId="0" applyNumberFormat="1" applyFont="1" applyFill="1" applyBorder="1" applyAlignment="1">
      <x:alignment horizontal="left" vertical="center" wrapText="1"/>
    </x:xf>
    <x:xf numFmtId="0" fontId="11" fillId="7" borderId="26" xfId="0" applyNumberFormat="1" applyFont="1" applyFill="1" applyBorder="1" applyAlignment="1">
      <x:alignment horizontal="left" vertical="center" wrapText="1"/>
    </x:xf>
    <x:xf numFmtId="0" fontId="11" fillId="7" borderId="39" xfId="0" applyNumberFormat="1" applyFont="1" applyFill="1" applyBorder="1" applyAlignment="1">
      <x:alignment horizontal="left" vertical="center" wrapText="1"/>
    </x:xf>
    <x:xf numFmtId="0" fontId="11" fillId="7" borderId="31" xfId="0" applyNumberFormat="1" applyFont="1" applyFill="1" applyBorder="1" applyAlignment="1">
      <x:alignment horizontal="left" vertical="center" wrapText="1"/>
    </x:xf>
    <x:xf numFmtId="0" fontId="11" fillId="7" borderId="36" xfId="0" applyNumberFormat="1" applyFont="1" applyFill="1" applyBorder="1" applyAlignment="1">
      <x:alignment horizontal="left" vertical="top" wrapText="1"/>
    </x:xf>
    <x:xf numFmtId="0" fontId="11" fillId="7" borderId="37" xfId="0" applyNumberFormat="1" applyFont="1" applyFill="1" applyBorder="1" applyAlignment="1">
      <x:alignment horizontal="left" vertical="top" wrapText="1"/>
    </x:xf>
    <x:xf numFmtId="0" fontId="11" fillId="7" borderId="38" xfId="0" applyNumberFormat="1" applyFont="1" applyFill="1" applyBorder="1" applyAlignment="1">
      <x:alignment horizontal="left" vertical="top" wrapText="1"/>
    </x:xf>
    <x:xf numFmtId="0" fontId="11" fillId="7" borderId="26" xfId="0" applyNumberFormat="1" applyFont="1" applyFill="1" applyBorder="1" applyAlignment="1">
      <x:alignment horizontal="left" vertical="top" wrapText="1"/>
    </x:xf>
    <x:xf numFmtId="0" fontId="11" fillId="7" borderId="39" xfId="0" applyNumberFormat="1" applyFont="1" applyFill="1" applyBorder="1" applyAlignment="1">
      <x:alignment horizontal="left" vertical="top" wrapText="1"/>
    </x:xf>
    <x:xf numFmtId="0" fontId="11" fillId="7" borderId="31" xfId="0" applyNumberFormat="1" applyFont="1" applyFill="1" applyBorder="1" applyAlignment="1">
      <x:alignment horizontal="left" vertical="top" wrapText="1"/>
    </x:xf>
    <x:xf numFmtId="0" fontId="8" fillId="7" borderId="36" xfId="0" applyNumberFormat="1" applyFont="1" applyFill="1" applyBorder="1" applyAlignment="1">
      <x:alignment horizontal="left" vertical="center"/>
    </x:xf>
    <x:xf numFmtId="0" fontId="8" fillId="7" borderId="40" xfId="0" applyNumberFormat="1" applyFont="1" applyFill="1" applyBorder="1" applyAlignment="1">
      <x:alignment horizontal="left" vertical="center"/>
    </x:xf>
    <x:xf numFmtId="0" fontId="8" fillId="7" borderId="37" xfId="0" applyNumberFormat="1" applyFont="1" applyFill="1" applyBorder="1" applyAlignment="1">
      <x:alignment horizontal="left" vertical="center"/>
    </x:xf>
    <x:xf numFmtId="0" fontId="8" fillId="7" borderId="38" xfId="0" applyNumberFormat="1" applyFont="1" applyFill="1" applyBorder="1" applyAlignment="1">
      <x:alignment horizontal="left" vertical="center"/>
    </x:xf>
    <x:xf numFmtId="0" fontId="8" fillId="7" borderId="39" xfId="0" applyNumberFormat="1" applyFont="1" applyFill="1" applyBorder="1" applyAlignment="1">
      <x:alignment horizontal="left" vertical="center"/>
    </x:xf>
    <x:xf numFmtId="0" fontId="8" fillId="9" borderId="36" xfId="0" applyNumberFormat="1" applyFont="1" applyFill="1" applyBorder="1" applyAlignment="1">
      <x:alignment horizontal="left" vertical="center"/>
    </x:xf>
    <x:xf numFmtId="0" fontId="8" fillId="9" borderId="40" xfId="0" applyNumberFormat="1" applyFont="1" applyFill="1" applyBorder="1" applyAlignment="1">
      <x:alignment horizontal="left" vertical="center"/>
    </x:xf>
    <x:xf numFmtId="0" fontId="8" fillId="9" borderId="37" xfId="0" applyNumberFormat="1" applyFont="1" applyFill="1" applyBorder="1" applyAlignment="1">
      <x:alignment horizontal="left" vertical="center"/>
    </x:xf>
    <x:xf numFmtId="0" fontId="8" fillId="9" borderId="38" xfId="0" applyNumberFormat="1" applyFont="1" applyFill="1" applyBorder="1" applyAlignment="1">
      <x:alignment horizontal="left" vertical="center"/>
    </x:xf>
    <x:xf numFmtId="0" fontId="10" fillId="9" borderId="36" xfId="0" applyNumberFormat="1" applyFont="1" applyFill="1" applyBorder="1" applyAlignment="1">
      <x:alignment horizontal="left" vertical="center"/>
    </x:xf>
    <x:xf numFmtId="0" fontId="10" fillId="9" borderId="40" xfId="0" applyNumberFormat="1" applyFont="1" applyFill="1" applyBorder="1" applyAlignment="1">
      <x:alignment horizontal="left" vertical="center"/>
    </x:xf>
    <x:xf numFmtId="0" fontId="10" fillId="9" borderId="37" xfId="0" applyNumberFormat="1" applyFont="1" applyFill="1" applyBorder="1" applyAlignment="1">
      <x:alignment horizontal="left" vertical="center"/>
    </x:xf>
    <x:xf numFmtId="0" fontId="10" fillId="9" borderId="38" xfId="0" applyNumberFormat="1" applyFont="1" applyFill="1" applyBorder="1" applyAlignment="1">
      <x:alignment horizontal="left" vertical="center"/>
    </x:xf>
    <x:xf numFmtId="0" fontId="10" fillId="9" borderId="41" xfId="0" applyNumberFormat="1" applyFont="1" applyFill="1" applyBorder="1" applyAlignment="1">
      <x:alignment horizontal="left" vertical="center"/>
    </x:xf>
    <x:xf numFmtId="0" fontId="10" fillId="9" borderId="36" xfId="0" applyNumberFormat="1" applyFont="1" applyFill="1" applyBorder="1" applyAlignment="1">
      <x:alignment horizontal="center" vertical="center"/>
    </x:xf>
    <x:xf numFmtId="0" fontId="10" fillId="9" borderId="40" xfId="0" applyNumberFormat="1" applyFont="1" applyFill="1" applyBorder="1" applyAlignment="1">
      <x:alignment horizontal="center" vertical="center"/>
    </x:xf>
    <x:xf numFmtId="0" fontId="10" fillId="9" borderId="37" xfId="0" applyNumberFormat="1" applyFont="1" applyFill="1" applyBorder="1" applyAlignment="1">
      <x:alignment horizontal="center" vertical="center"/>
    </x:xf>
    <x:xf numFmtId="0" fontId="10" fillId="9" borderId="41" xfId="0" applyNumberFormat="1" applyFont="1" applyFill="1" applyBorder="1" applyAlignment="1">
      <x:alignment horizontal="center" vertical="center"/>
    </x:xf>
    <x:xf numFmtId="0" fontId="10" fillId="9" borderId="28" xfId="0" applyNumberFormat="1" applyFont="1" applyFill="1" applyBorder="1" applyAlignment="1">
      <x:alignment horizontal="center" vertical="center"/>
    </x:xf>
    <x:xf numFmtId="0" fontId="10" fillId="9" borderId="29" xfId="0" applyNumberFormat="1" applyFont="1" applyFill="1" applyBorder="1" applyAlignment="1">
      <x:alignment horizontal="center" vertical="center"/>
    </x:xf>
    <x:xf numFmtId="0" fontId="14" fillId="7" borderId="38" xfId="0" applyNumberFormat="1" applyFont="1" applyFill="1" applyBorder="1" applyAlignment="1">
      <x:alignment horizontal="left" vertical="center"/>
    </x:xf>
    <x:xf numFmtId="0" fontId="14" fillId="7" xfId="0" applyNumberFormat="1" applyFont="1" applyFill="1" applyBorder="0" applyAlignment="1">
      <x:alignment horizontal="left" vertical="center"/>
    </x:xf>
    <x:xf numFmtId="0" fontId="14" fillId="7" borderId="26" xfId="0" applyNumberFormat="1" applyFont="1" applyFill="1" applyBorder="1" applyAlignment="1">
      <x:alignment horizontal="left" vertical="center"/>
    </x:xf>
    <x:xf numFmtId="0" fontId="14" fillId="7" borderId="39" xfId="0" applyNumberFormat="1" applyFont="1" applyFill="1" applyBorder="1" applyAlignment="1">
      <x:alignment horizontal="left" vertical="center"/>
    </x:xf>
    <x:xf numFmtId="0" fontId="14" fillId="7" borderId="30" xfId="0" applyNumberFormat="1" applyFont="1" applyFill="1" applyBorder="1" applyAlignment="1">
      <x:alignment horizontal="left" vertical="center"/>
    </x:xf>
    <x:xf numFmtId="0" fontId="14" fillId="7" borderId="31" xfId="0" applyNumberFormat="1" applyFont="1" applyFill="1" applyBorder="1" applyAlignment="1">
      <x:alignment horizontal="left" vertical="center"/>
    </x:xf>
    <x:xf numFmtId="205" fontId="14" fillId="7" borderId="38" xfId="0" applyNumberFormat="1" applyFont="1" applyFill="1" applyBorder="1" applyAlignment="1">
      <x:alignment horizontal="left" vertical="center"/>
    </x:xf>
    <x:xf numFmtId="205" fontId="14" fillId="7" xfId="0" applyNumberFormat="1" applyFont="1" applyFill="1" applyBorder="0" applyAlignment="1">
      <x:alignment horizontal="left" vertical="center"/>
    </x:xf>
    <x:xf numFmtId="205" fontId="14" fillId="7" borderId="26" xfId="0" applyNumberFormat="1" applyFont="1" applyFill="1" applyBorder="1" applyAlignment="1">
      <x:alignment horizontal="left" vertical="center"/>
    </x:xf>
    <x:xf numFmtId="205" fontId="14" fillId="7" borderId="39" xfId="0" applyNumberFormat="1" applyFont="1" applyFill="1" applyBorder="1" applyAlignment="1">
      <x:alignment horizontal="left" vertical="center"/>
    </x:xf>
    <x:xf numFmtId="205" fontId="14" fillId="7" borderId="30" xfId="0" applyNumberFormat="1" applyFont="1" applyFill="1" applyBorder="1" applyAlignment="1">
      <x:alignment horizontal="left" vertical="center"/>
    </x:xf>
    <x:xf numFmtId="205" fontId="14" fillId="7" borderId="31" xfId="0" applyNumberFormat="1" applyFont="1" applyFill="1" applyBorder="1" applyAlignment="1">
      <x:alignment horizontal="left" vertical="center"/>
    </x:xf>
    <x:xf numFmtId="205" fontId="14" fillId="7" borderId="38" xfId="0" applyNumberFormat="1" applyFont="1" applyFill="1" applyBorder="1" applyAlignment="1">
      <x:alignment horizontal="center" vertical="center"/>
    </x:xf>
    <x:xf numFmtId="205" fontId="14" fillId="7" xfId="0" applyNumberFormat="1" applyFont="1" applyFill="1" applyBorder="0" applyAlignment="1">
      <x:alignment horizontal="center" vertical="center"/>
    </x:xf>
    <x:xf numFmtId="205" fontId="14" fillId="7" borderId="26" xfId="0" applyNumberFormat="1" applyFont="1" applyFill="1" applyBorder="1" applyAlignment="1">
      <x:alignment horizontal="center" vertical="center"/>
    </x:xf>
    <x:xf numFmtId="205" fontId="14" fillId="7" borderId="39" xfId="0" applyNumberFormat="1" applyFont="1" applyFill="1" applyBorder="1" applyAlignment="1">
      <x:alignment horizontal="center" vertical="center"/>
    </x:xf>
    <x:xf numFmtId="205" fontId="14" fillId="7" borderId="30" xfId="0" applyNumberFormat="1" applyFont="1" applyFill="1" applyBorder="1" applyAlignment="1">
      <x:alignment horizontal="center" vertical="center"/>
    </x:xf>
    <x:xf numFmtId="205" fontId="14" fillId="7" borderId="31" xfId="0" applyNumberFormat="1" applyFont="1" applyFill="1" applyBorder="1" applyAlignment="1">
      <x:alignment horizontal="center" vertical="center"/>
    </x:xf>
    <x:xf numFmtId="204" fontId="14" fillId="7" borderId="38" xfId="0" applyNumberFormat="1" applyFont="1" applyFill="1" applyBorder="1" applyAlignment="1">
      <x:alignment horizontal="left" vertical="center"/>
    </x:xf>
    <x:xf numFmtId="204" fontId="14" fillId="7" borderId="26" xfId="0" applyNumberFormat="1" applyFont="1" applyFill="1" applyBorder="1" applyAlignment="1">
      <x:alignment horizontal="left" vertical="center"/>
    </x:xf>
    <x:xf numFmtId="204" fontId="14" fillId="7" borderId="39" xfId="0" applyNumberFormat="1" applyFont="1" applyFill="1" applyBorder="1" applyAlignment="1">
      <x:alignment horizontal="left" vertical="center"/>
    </x:xf>
    <x:xf numFmtId="204" fontId="14" fillId="7" borderId="31" xfId="0" applyNumberFormat="1" applyFont="1" applyFill="1" applyBorder="1" applyAlignment="1">
      <x:alignment horizontal="left" vertical="center"/>
    </x:xf>
    <x:xf numFmtId="204" fontId="14" fillId="7" borderId="38" xfId="0" applyNumberFormat="1" applyFont="1" applyFill="1" applyBorder="1" applyAlignment="1">
      <x:alignment horizontal="center" vertical="center"/>
    </x:xf>
    <x:xf numFmtId="204" fontId="14" fillId="7" borderId="26" xfId="0" applyNumberFormat="1" applyFont="1" applyFill="1" applyBorder="1" applyAlignment="1">
      <x:alignment horizontal="center" vertical="center"/>
    </x:xf>
    <x:xf numFmtId="204" fontId="14" fillId="7" borderId="39" xfId="0" applyNumberFormat="1" applyFont="1" applyFill="1" applyBorder="1" applyAlignment="1">
      <x:alignment horizontal="center" vertical="center"/>
    </x:xf>
    <x:xf numFmtId="204" fontId="14" fillId="7" borderId="31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13" borderId="0" xfId="0" applyNumberFormat="1" applyFont="1" applyFill="1" applyBorder="1" applyAlignment="1">
      <x:alignment horizontal="left" vertical="center"/>
    </x:xf>
    <x:xf numFmtId="0" fontId="10" fillId="13" borderId="0" xfId="0" applyNumberFormat="1" applyFont="1" applyFill="1" applyBorder="1" applyAlignment="1">
      <x:alignment horizontal="left" vertical="center"/>
    </x:xf>
    <x:xf numFmtId="0" fontId="10" fillId="13" borderId="42" xfId="0" applyNumberFormat="1" applyFont="1" applyFill="1" applyBorder="1" applyAlignment="1">
      <x:alignment horizontal="left" vertical="center"/>
    </x:xf>
    <x:xf numFmtId="0" fontId="10" fillId="13" borderId="42" xfId="0" applyNumberFormat="1" applyFont="1" applyFill="1" applyBorder="1" applyAlignment="1">
      <x:alignment horizontal="center" vertical="center"/>
    </x:xf>
    <x:xf numFmtId="206" fontId="8" fillId="7" borderId="30" xfId="0" applyNumberFormat="1" applyFont="1" applyFill="1" applyBorder="1" applyAlignment="1">
      <x:alignment horizontal="left" vertical="center"/>
    </x:xf>
    <x:xf numFmtId="202" fontId="8" fillId="7" borderId="30" xfId="0" applyNumberFormat="1" applyFont="1" applyFill="1" applyBorder="1" applyAlignment="1">
      <x:alignment horizontal="left" vertical="center"/>
    </x:xf>
    <x:xf numFmtId="202" fontId="8" fillId="7" borderId="30" xfId="0" applyNumberFormat="1" applyFont="1" applyFill="1" applyBorder="1" applyAlignment="1">
      <x:alignment horizontal="right" vertical="center"/>
    </x:xf>
    <x:xf numFmtId="205" fontId="8" fillId="7" borderId="30" xfId="0" applyNumberFormat="1" applyFont="1" applyFill="1" applyBorder="1" applyAlignment="1">
      <x:alignment horizontal="left" vertical="center"/>
    </x:xf>
    <x:xf numFmtId="205" fontId="8" fillId="7" borderId="30" xfId="0" applyNumberFormat="1" applyFont="1" applyFill="1" applyBorder="1" applyAlignment="1">
      <x:alignment horizontal="right" vertical="center"/>
    </x:xf>
    <x:xf numFmtId="0" fontId="8" fillId="12" borderId="0" xfId="0" applyNumberFormat="1" applyFont="1" applyFill="1" applyBorder="1" applyAlignment="1">
      <x:alignment horizontal="left" vertical="center"/>
    </x:xf>
    <x:xf numFmtId="206" fontId="8" fillId="12" borderId="30" xfId="0" applyNumberFormat="1" applyFont="1" applyFill="1" applyBorder="1" applyAlignment="1">
      <x:alignment horizontal="left" vertical="center"/>
    </x:xf>
    <x:xf numFmtId="202" fontId="8" fillId="12" borderId="30" xfId="0" applyNumberFormat="1" applyFont="1" applyFill="1" applyBorder="1" applyAlignment="1">
      <x:alignment horizontal="left" vertical="center"/>
    </x:xf>
    <x:xf numFmtId="202" fontId="8" fillId="12" borderId="30" xfId="0" applyNumberFormat="1" applyFont="1" applyFill="1" applyBorder="1" applyAlignment="1">
      <x:alignment horizontal="right" vertical="center"/>
    </x:xf>
    <x:xf numFmtId="205" fontId="8" fillId="12" borderId="30" xfId="0" applyNumberFormat="1" applyFont="1" applyFill="1" applyBorder="1" applyAlignment="1">
      <x:alignment horizontal="left" vertical="center"/>
    </x:xf>
    <x:xf numFmtId="205" fontId="8" fillId="12" borderId="30" xfId="0" applyNumberFormat="1" applyFont="1" applyFill="1" applyBorder="1" applyAlignment="1">
      <x:alignment horizontal="right" vertical="center"/>
    </x:xf>
    <x:xf numFmtId="0" fontId="15" fillId="3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/>
    <x:xf numFmtId="202" fontId="8" fillId="0" borderId="3" xfId="0" applyNumberFormat="1" applyFont="1" applyFill="1" applyBorder="1"/>
    <x:xf numFmtId="203" fontId="8" fillId="0" borderId="3" xfId="0" applyNumberFormat="1" applyFont="1" applyFill="1" applyBorder="1"/>
    <x:xf numFmtId="204" fontId="8" fillId="0" borderId="3" xfId="0" applyNumberFormat="1" applyFont="1" applyFill="1" applyBorder="1"/>
    <x:xf numFmtId="0" fontId="8" fillId="0" borderId="3" xfId="0" applyNumberFormat="1" applyFont="1" applyFill="1" applyBorder="1" applyAlignment="1">
      <x:alignment vertical="center"/>
    </x:xf>
    <x:xf numFmtId="202" fontId="8" fillId="0" borderId="3" xfId="0" applyNumberFormat="1" applyFont="1" applyFill="1" applyBorder="1" applyAlignment="1">
      <x:alignment vertical="center"/>
    </x:xf>
    <x:xf numFmtId="203" fontId="8" fillId="0" borderId="3" xfId="0" applyNumberFormat="1" applyFont="1" applyFill="1" applyBorder="1" applyAlignment="1">
      <x:alignment vertical="center"/>
    </x:xf>
    <x:xf numFmtId="204" fontId="8" fillId="0" borderId="3" xfId="0" applyNumberFormat="1" applyFont="1" applyFill="1" applyBorder="1" applyAlignment="1">
      <x:alignment vertical="center"/>
    </x:xf>
    <x:xf numFmtId="0" fontId="15" fillId="3" borderId="31" xfId="0" applyNumberFormat="1" applyFont="1" applyFill="1" applyBorder="1" applyAlignment="1">
      <x:alignment vertical="center" wrapText="1"/>
    </x:xf>
    <x:xf numFmtId="0" fontId="15" fillId="3" borderId="43" xfId="0" applyNumberFormat="1" applyFont="1" applyFill="1" applyBorder="1" applyAlignment="1">
      <x:alignment vertical="center" wrapText="1"/>
    </x:xf>
    <x:xf numFmtId="0" fontId="15" fillId="3" borderId="39" xfId="0" applyNumberFormat="1" applyFont="1" applyFill="1" applyBorder="1" applyAlignment="1">
      <x:alignment vertical="center" wrapText="1"/>
    </x:xf>
    <x:xf numFmtId="0" fontId="8" fillId="0" borderId="44" xfId="0" applyNumberFormat="1" applyFont="1" applyFill="1" applyBorder="1" applyAlignment="1">
      <x:alignment vertical="center"/>
    </x:xf>
    <x:xf numFmtId="0" fontId="8" fillId="0" borderId="45" xfId="0" applyNumberFormat="1" applyFont="1" applyFill="1" applyBorder="1" applyAlignment="1">
      <x:alignment vertical="center"/>
    </x:xf>
    <x:xf numFmtId="202" fontId="8" fillId="0" borderId="45" xfId="0" applyNumberFormat="1" applyFont="1" applyFill="1" applyBorder="1" applyAlignment="1">
      <x:alignment vertical="center"/>
    </x:xf>
    <x:xf numFmtId="203" fontId="8" fillId="0" borderId="45" xfId="0" applyNumberFormat="1" applyFont="1" applyFill="1" applyBorder="1" applyAlignment="1">
      <x:alignment vertical="center"/>
    </x:xf>
    <x:xf numFmtId="204" fontId="8" fillId="0" borderId="46" xfId="0" applyNumberFormat="1" applyFont="1" applyFill="1" applyBorder="1" applyAlignment="1">
      <x:alignment vertical="center"/>
    </x:xf>
    <x:xf numFmtId="0" fontId="15" fillId="8" borderId="31" xfId="0" applyNumberFormat="1" applyFont="1" applyFill="1" applyBorder="1" applyAlignment="1">
      <x:alignment vertical="center" wrapText="1"/>
    </x:xf>
    <x:xf numFmtId="0" fontId="15" fillId="8" borderId="43" xfId="0" applyNumberFormat="1" applyFont="1" applyFill="1" applyBorder="1" applyAlignment="1">
      <x:alignment vertical="center" wrapText="1"/>
    </x:xf>
    <x:xf numFmtId="0" fontId="15" fillId="8" borderId="39" xfId="0" applyNumberFormat="1" applyFont="1" applyFill="1" applyBorder="1" applyAlignment="1">
      <x:alignment vertical="center" wrapText="1"/>
    </x:xf>
    <x:xf numFmtId="0" fontId="9" fillId="8" borderId="31" xfId="0" applyNumberFormat="1" applyFont="1" applyFill="1" applyBorder="1" applyAlignment="1">
      <x:alignment vertical="center" wrapText="1"/>
    </x:xf>
    <x:xf numFmtId="0" fontId="9" fillId="8" borderId="43" xfId="0" applyNumberFormat="1" applyFont="1" applyFill="1" applyBorder="1" applyAlignment="1">
      <x:alignment vertical="center" wrapText="1"/>
    </x:xf>
    <x:xf numFmtId="0" fontId="9" fillId="8" borderId="39" xfId="0" applyNumberFormat="1" applyFont="1" applyFill="1" applyBorder="1" applyAlignment="1">
      <x:alignment vertical="center" wrapText="1"/>
    </x:xf>
    <x:xf numFmtId="0" fontId="9" fillId="8" borderId="42" xfId="0" applyNumberFormat="1" applyFont="1" applyFill="1" applyBorder="1" applyAlignment="1">
      <x:alignment vertical="center" wrapText="1"/>
    </x:xf>
    <x:xf numFmtId="0" fontId="8" fillId="12" borderId="44" xfId="0" applyNumberFormat="1" applyFont="1" applyFill="1" applyBorder="1" applyAlignment="1">
      <x:alignment vertical="center"/>
    </x:xf>
    <x:xf numFmtId="0" fontId="8" fillId="12" borderId="45" xfId="0" applyNumberFormat="1" applyFont="1" applyFill="1" applyBorder="1" applyAlignment="1">
      <x:alignment vertical="center"/>
    </x:xf>
    <x:xf numFmtId="202" fontId="8" fillId="12" borderId="45" xfId="0" applyNumberFormat="1" applyFont="1" applyFill="1" applyBorder="1" applyAlignment="1">
      <x:alignment vertical="center"/>
    </x:xf>
    <x:xf numFmtId="203" fontId="8" fillId="12" borderId="45" xfId="0" applyNumberFormat="1" applyFont="1" applyFill="1" applyBorder="1" applyAlignment="1">
      <x:alignment vertical="center"/>
    </x:xf>
    <x:xf numFmtId="204" fontId="8" fillId="12" borderId="46" xfId="0" applyNumberFormat="1" applyFont="1" applyFill="1" applyBorder="1" applyAlignment="1">
      <x:alignment vertical="center"/>
    </x:xf>
    <x:xf numFmtId="205" fontId="8" fillId="12" borderId="45" xfId="0" applyNumberFormat="1" applyFont="1" applyFill="1" applyBorder="1" applyAlignment="1">
      <x:alignment vertical="center"/>
    </x:xf>
    <x:xf numFmtId="205" fontId="8" fillId="0" borderId="45" xfId="0" applyNumberFormat="1" applyFont="1" applyFill="1" applyBorder="1" applyAlignment="1">
      <x:alignment vertical="center"/>
    </x:xf>
    <x:xf numFmtId="207" fontId="8" fillId="12" borderId="45" xfId="0" applyNumberFormat="1" applyFont="1" applyFill="1" applyBorder="1" applyAlignment="1">
      <x:alignment vertical="center"/>
    </x:xf>
    <x:xf numFmtId="207" fontId="8" fillId="0" borderId="45" xfId="0" applyNumberFormat="1" applyFont="1" applyFill="1" applyBorder="1" applyAlignment="1">
      <x:alignment vertical="center"/>
    </x:xf>
    <x:xf numFmtId="203" fontId="8" fillId="12" borderId="46" xfId="0" applyNumberFormat="1" applyFont="1" applyFill="1" applyBorder="1" applyAlignment="1">
      <x:alignment vertical="center"/>
    </x:xf>
    <x:xf numFmtId="203" fontId="8" fillId="0" borderId="46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2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/>
    <x:xf numFmtId="200" fontId="0" fillId="7" borderId="3" xfId="0" applyNumberFormat="1" applyFont="1" applyFill="1" applyBorder="1"/>
    <x:xf numFmtId="201" fontId="0" fillId="7" borderId="3" xfId="0" applyNumberFormat="1" applyFont="1" applyFill="1" applyBorder="1"/>
    <x:xf numFmtId="0" fontId="16" fillId="7" borderId="0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/>
    <x:xf numFmtId="0" fontId="15" fillId="7" borderId="2" xfId="0" applyNumberFormat="1" applyFont="1" applyFill="1" applyBorder="1" applyAlignment="1">
      <x:alignment vertical="center" wrapText="1"/>
    </x:xf>
    <x:xf numFmtId="0" fontId="8" fillId="7" borderId="3" xfId="0" applyNumberFormat="1" applyFont="1" applyFill="1" applyBorder="1"/>
    <x:xf numFmtId="200" fontId="8" fillId="7" borderId="3" xfId="0" applyNumberFormat="1" applyFont="1" applyFill="1" applyBorder="1"/>
    <x:xf numFmtId="201" fontId="8" fillId="7" borderId="3" xfId="0" applyNumberFormat="1" applyFont="1" applyFill="1" applyBorder="1"/>
    <x:xf numFmtId="0" fontId="16" fillId="9" borderId="0" xfId="0" applyNumberFormat="1" applyFont="1" applyFill="1" applyBorder="1" applyAlignment="1">
      <x:alignment vertical="center"/>
    </x:xf>
    <x:xf numFmtId="0" fontId="16" fillId="9" borderId="0" xfId="0" applyNumberFormat="1" applyFont="1" applyFill="1" applyBorder="1" applyAlignment="1">
      <x:alignment vertical="center" wrapText="1"/>
    </x:xf>
    <x:xf numFmtId="0" fontId="17" fillId="9" borderId="0" xfId="0" applyNumberFormat="1" applyFont="1" applyFill="1" applyBorder="1" applyAlignment="1">
      <x:alignment vertical="center"/>
    </x:xf>
    <x:xf numFmtId="0" fontId="17" fillId="9" borderId="0" xfId="0" applyNumberFormat="1" applyFont="1" applyFill="1" applyBorder="1" applyAlignment="1">
      <x:alignment vertical="center" wrapText="1"/>
    </x:xf>
    <x:xf numFmtId="0" fontId="17" fillId="9" borderId="27" xfId="0" applyNumberFormat="1" applyFont="1" applyFill="1" applyBorder="1" applyAlignment="1">
      <x:alignment vertical="center"/>
    </x:xf>
    <x:xf numFmtId="0" fontId="17" fillId="9" borderId="27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/>
    </x:xf>
    <x:xf numFmtId="0" fontId="15" fillId="8" borderId="2" xfId="0" applyNumberFormat="1" applyFont="1" applyFill="1" applyBorder="1" applyAlignment="1">
      <x:alignment vertical="center" wrapText="1"/>
    </x:xf>
    <x:xf numFmtId="0" fontId="9" fillId="8" borderId="2" xfId="0" applyNumberFormat="1" applyFont="1" applyFill="1" applyBorder="1" applyAlignment="1">
      <x:alignment vertical="center" wrapText="1"/>
    </x:xf>
    <x:xf numFmtId="0" fontId="8" fillId="12" borderId="3" xfId="0" applyNumberFormat="1" applyFont="1" applyFill="1" applyBorder="1"/>
    <x:xf numFmtId="200" fontId="8" fillId="12" borderId="3" xfId="0" applyNumberFormat="1" applyFont="1" applyFill="1" applyBorder="1"/>
    <x:xf numFmtId="0" fontId="8" fillId="12" borderId="47" xfId="0" applyNumberFormat="1" applyFont="1" applyFill="1" applyBorder="1"/>
    <x:xf numFmtId="200" fontId="8" fillId="12" borderId="47" xfId="0" applyNumberFormat="1" applyFont="1" applyFill="1" applyBorder="1"/>
    <x:xf numFmtId="200" fontId="8" fillId="9" borderId="47" xfId="0" applyNumberFormat="1" applyFont="1" applyFill="1" applyBorder="1"/>
    <x:xf numFmtId="200" fontId="10" fillId="9" borderId="47" xfId="0" applyNumberFormat="1" applyFont="1" applyFill="1" applyBorder="1"/>
    <x:xf numFmtId="200" fontId="10" fillId="9" borderId="47" xfId="0" applyNumberFormat="1" applyFont="1" applyFill="1" applyBorder="1" applyAlignment="1">
      <x:alignment horizontal="center"/>
    </x:xf>
    <x:xf numFmtId="0" fontId="8" fillId="7" borderId="47" xfId="0" applyNumberFormat="1" applyFont="1" applyFill="1" applyBorder="1"/>
    <x:xf numFmtId="200" fontId="8" fillId="7" borderId="47" xfId="0" applyNumberFormat="1" applyFont="1" applyFill="1" applyBorder="1"/>
    <x:xf numFmtId="201" fontId="8" fillId="7" borderId="47" xfId="0" applyNumberFormat="1" applyFont="1" applyFill="1" applyBorder="1"/>
    <x:xf numFmtId="201" fontId="8" fillId="9" borderId="47" xfId="0" applyNumberFormat="1" applyFont="1" applyFill="1" applyBorder="1"/>
    <x:xf numFmtId="201" fontId="10" fillId="9" borderId="47" xfId="0" applyNumberFormat="1" applyFont="1" applyFill="1" applyBorder="1"/>
    <x:xf numFmtId="201" fontId="10" fillId="9" borderId="47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39" xfId="0" applyNumberFormat="1" applyFont="1" applyFill="1" applyBorder="1" applyAlignment="1">
      <x:alignment vertical="center"/>
    </x:xf>
    <x:xf numFmtId="204" fontId="8" fillId="0" borderId="45" xfId="0" applyNumberFormat="1" applyFont="1" applyFill="1" applyBorder="1" applyAlignment="1">
      <x:alignment vertical="center"/>
    </x:xf>
    <x:xf numFmtId="0" fontId="8" fillId="0" borderId="46" xfId="0" applyNumberFormat="1" applyFont="1" applyFill="1" applyBorder="1" applyAlignment="1">
      <x:alignment vertical="center"/>
    </x:xf>
    <x:xf numFmtId="0" fontId="8" fillId="8" borderId="39" xfId="0" applyNumberFormat="1" applyFont="1" applyFill="1" applyBorder="1" applyAlignment="1">
      <x:alignment vertical="center"/>
    </x:xf>
    <x:xf numFmtId="0" fontId="9" fillId="8" borderId="39" xfId="0" applyNumberFormat="1" applyFont="1" applyFill="1" applyBorder="1" applyAlignment="1">
      <x:alignment vertical="center"/>
    </x:xf>
    <x:xf numFmtId="0" fontId="9" fillId="8" borderId="42" xfId="0" applyNumberFormat="1" applyFont="1" applyFill="1" applyBorder="1" applyAlignment="1">
      <x:alignment vertical="center"/>
    </x:xf>
    <x:xf numFmtId="204" fontId="8" fillId="12" borderId="45" xfId="0" applyNumberFormat="1" applyFont="1" applyFill="1" applyBorder="1" applyAlignment="1">
      <x:alignment vertical="center"/>
    </x:xf>
    <x:xf numFmtId="0" fontId="8" fillId="12" borderId="46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/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7" borderId="22" xfId="0" applyNumberFormat="1" applyFont="1" applyFill="1" applyBorder="1" applyAlignment="1">
      <x:alignment vertical="top" wrapText="1"/>
    </x:xf>
    <x:xf numFmtId="0" fontId="15" fillId="7" borderId="0" xfId="0" applyNumberFormat="1" applyFont="1" applyFill="1" applyBorder="1"/>
    <x:xf numFmtId="0" fontId="8" fillId="7" borderId="2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vertical="top" wrapText="1"/>
    </x:xf>
    <x:xf numFmtId="0" fontId="8" fillId="7" borderId="22" xfId="0" applyNumberFormat="1" applyFont="1" applyFill="1" applyBorder="1" applyAlignment="1">
      <x:alignment vertical="top" wrapText="1"/>
    </x:xf>
    <x:xf numFmtId="0" fontId="15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30" xfId="0" applyNumberFormat="1" applyFont="1" applyFill="1" applyBorder="1"/>
    <x:xf numFmtId="0" fontId="10" fillId="12" borderId="30" xfId="0" applyNumberFormat="1" applyFont="1" applyFill="1" applyBorder="1" applyAlignment="1">
      <x:alignment wrapText="1"/>
    </x:xf>
    <x:xf numFmtId="0" fontId="10" fillId="12" borderId="30" xfId="0" applyNumberFormat="1" applyFont="1" applyFill="1" applyBorder="1" applyAlignment="1">
      <x:alignment vertical="center" wrapText="1"/>
    </x:xf>
    <x:xf numFmtId="0" fontId="8" fillId="7" borderId="30" xfId="0" applyNumberFormat="1" applyFont="1" applyFill="1" applyBorder="1" applyAlignment="1">
      <x:alignment vertical="top" wrapText="1"/>
    </x:xf>
    <x:xf numFmtId="0" fontId="8" fillId="7" borderId="30" xfId="0" applyNumberFormat="1" applyFont="1" applyFill="1" applyBorder="1" applyAlignment="1">
      <x:alignment vertical="center" wrapText="1"/>
    </x:xf>
    <x:xf numFmtId="0" fontId="8" fillId="7" borderId="47" xfId="0" applyNumberFormat="1" applyFont="1" applyFill="1" applyBorder="1" applyAlignment="1">
      <x:alignment vertical="top" wrapText="1"/>
    </x:xf>
    <x:xf numFmtId="0" fontId="8" fillId="7" borderId="4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A54B4B"/>
      </x:font>
      <x:fill>
        <x:patternFill>
          <x:bgColor rgb="FFFDE8E8"/>
        </x:patternFill>
      </x:fill>
    </x:dxf>
    <x:dxf>
      <x:font>
        <x:b/>
        <x:color rgb="FFA97835"/>
      </x:font>
      <x:fill>
        <x:patternFill>
          <x:bgColor rgb="FFFFF4D6"/>
        </x:patternFill>
      </x:fill>
    </x:dxf>
    <x:dxf>
      <x:font>
        <x:color rgb="FF4B7B68"/>
      </x:font>
      <x:fill>
        <x:patternFill>
          <x:bgColor rgb="FFDDF5EA"/>
        </x:patternFill>
      </x:fill>
    </x:dxf>
    <x:dxf>
      <x:font>
        <x:b/>
        <x:color rgb="FFC53A3A"/>
      </x:font>
      <x:fill>
        <x:patternFill patternType="solid">
          <x:bgColor rgb="FFFCE4E4"/>
        </x:patternFill>
      </x:fill>
    </x:dxf>
    <x:dxf>
      <x:font>
        <x:b/>
        <x:color rgb="FFC53A3A"/>
      </x:font>
      <x:fill>
        <x:patternFill patternType="solid">
          <x:bgColor rgb="FFFCE4E4"/>
        </x:patternFill>
      </x:fill>
    </x:dxf>
    <x:dxf>
      <x:font>
        <x:b/>
        <x:color rgb="FFC98216"/>
      </x:font>
      <x:fill>
        <x:patternFill patternType="solid">
          <x:bgColor rgb="FFFFF1D6"/>
        </x:patternFill>
      </x:fill>
    </x:dxf>
    <x:dxf>
      <x:font>
        <x:b/>
        <x:color rgb="FF245F46"/>
      </x:font>
      <x:fill>
        <x:patternFill patternType="solid">
          <x:bgColor rgb="FFCDECDC"/>
        </x:patternFill>
      </x:fill>
    </x:dxf>
    <x:dxf>
      <x:font>
        <x:b/>
        <x:color rgb="FFC53A3A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a8b00896c42b4" /><Relationship Type="http://schemas.openxmlformats.org/officeDocument/2006/relationships/theme" Target="/xl/theme/theme1.xml" Id="R63b1c412bb2d47f7" /><Relationship Type="http://schemas.openxmlformats.org/officeDocument/2006/relationships/sharedStrings" Target="/xl/sharedStrings.xml" Id="R09a868550045465c" /><Relationship Type="http://schemas.openxmlformats.org/officeDocument/2006/relationships/worksheet" Target="/xl/worksheets/sheet1.xml" Id="R7bfe876ada3148b7" /><Relationship Type="http://schemas.openxmlformats.org/officeDocument/2006/relationships/worksheet" Target="/xl/worksheets/sheet2.xml" Id="Rccc4e6aad190474f" /><Relationship Type="http://schemas.openxmlformats.org/officeDocument/2006/relationships/worksheet" Target="/xl/worksheets/sheet3.xml" Id="Ra7e4a4bbd4d64ed2" /><Relationship Type="http://schemas.openxmlformats.org/officeDocument/2006/relationships/worksheet" Target="/xl/worksheets/sheet4.xml" Id="R90b1dc5e77c64d6b" /><Relationship Type="http://schemas.openxmlformats.org/officeDocument/2006/relationships/worksheet" Target="/xl/worksheets/sheet5.xml" Id="Rd4ffdcdb97794303" /><Relationship Type="http://schemas.microsoft.com/office/2017/10/relationships/person" Target="/xl/persons/person.xml" Id="R28e1421b87324b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545b99685e4f7c" /><Relationship Type="http://schemas.openxmlformats.org/officeDocument/2006/relationships/chart" Target="/xl/drawings/charts/chart2.xml" Id="Rb7f27b3fa84a48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Recommendation status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65B88A"/>
            </a:solidFill>
          </c:spPr>
          <c:cat>
            <c:strRef>
              <c:f>'Dashboard'!$A$5:$A$7</c:f>
              <c:strCache>
                <c:ptCount val="0"/>
              </c:strCache>
            </c:strRef>
          </c:cat>
          <c:val>
            <c:numRef>
              <c:f>'Dashboard'!$B$5:$B$7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Average inventory at cost (€)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Retail stores</c:v>
          </c:tx>
          <c:spPr>
            <a:solidFill xmlns:a="http://schemas.openxmlformats.org/drawingml/2006/main">
              <a:srgbClr val="65B88A"/>
            </a:solidFill>
          </c:spPr>
          <c:marker>
            <c:symbol val="none"/>
          </c:marker>
          <c:cat>
            <c:strRef>
              <c:f>'Inventory Trends'!$A$2:$A$16</c:f>
              <c:strCache>
                <c:ptCount val="0"/>
              </c:strCache>
            </c:strRef>
          </c:cat>
          <c:val>
            <c:numRef>
              <c:f>'Inventory Trends'!$F$2:$F$16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Warehouse</c:v>
          </c:tx>
          <c:spPr>
            <a:solidFill xmlns:a="http://schemas.openxmlformats.org/drawingml/2006/main">
              <a:srgbClr val="2F7D5A"/>
            </a:solidFill>
          </c:spPr>
          <c:marker>
            <c:symbol val="none"/>
          </c:marker>
          <c:cat>
            <c:strRef>
              <c:f>'Inventory Trends'!$A$2:$A$16</c:f>
              <c:strCache>
                <c:ptCount val="0"/>
              </c:strCache>
            </c:strRef>
          </c:cat>
          <c:val>
            <c:numRef>
              <c:f>'Inventory Trends'!$E$2:$E$16</c:f>
              <c:numCache>
                <c:formatCode>€#,##0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8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545b99685e4f7c"/>
        </a:graphicData>
      </a:graphic>
    </xdr:graphicFrame>
    <xdr:clientData/>
  </xdr:twoCellAnchor>
  <xdr:twoCellAnchor>
    <xdr:from>
      <xdr:col>10</xdr:col>
      <xdr:colOff>0</xdr:colOff>
      <xdr:row>8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f27b3fa84a48c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Danila Olhovikov" id="{C54AD361-097F-4EB6-B54F-82E528BD54F7}"/>
</xltc:personList>
</file>

<file path=xl/tables/table1.xml><?xml version="1.0" encoding="utf-8"?>
<x:table xmlns:x="http://schemas.openxmlformats.org/spreadsheetml/2006/main" id="1" name="ReorderRecommendations" displayName="ReorderRecommendations" ref="A1:N501" headerRowCount="1" totalsRowCount="0" totalsRowShown="0">
  <x:tableColumns count="14">
    <x:tableColumn id="1" name="SKU"/>
    <x:tableColumn id="2" name="Product"/>
    <x:tableColumn id="3" name="Location"/>
    <x:tableColumn id="4" name="Supplier"/>
    <x:tableColumn id="5" name="Current Qty"/>
    <x:tableColumn id="6" name="Weekly Demand"/>
    <x:tableColumn id="7" name="Recent Revenue"/>
    <x:tableColumn id="8" name="Unit Cost"/>
    <x:tableColumn id="9" name="Reorder Point"/>
    <x:tableColumn id="10" name="Target Stock"/>
    <x:tableColumn id="11" name="Recommended Order"/>
    <x:tableColumn id="12" name="Stock Cover (wks)"/>
    <x:tableColumn id="13" name="Status"/>
    <x:tableColumn id="14" name="Order Valu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235dcbbc1449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8d45848d0240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6" hidden="0" customWidth="1"/>
    <x:col min="3" max="3" width="9.5600004196167" hidden="0" customWidth="1"/>
    <x:col min="4" max="4" width="9.5600004196167" hidden="0" customWidth="1"/>
    <x:col min="5" max="5" width="9.5600004196167" hidden="0" customWidth="1"/>
    <x:col min="6" max="6" width="9.5600004196167" hidden="0" customWidth="1"/>
    <x:col min="7" max="7" width="9.5600004196167" hidden="0" customWidth="1"/>
    <x:col min="8" max="8" width="9.5600004196167" hidden="0" customWidth="1"/>
    <x:col min="9" max="9" width="9.5600004196167" hidden="0" customWidth="1"/>
    <x:col min="10" max="10" width="9.5600004196167" hidden="0" customWidth="1"/>
    <x:col min="11" max="11" width="9.5600004196167" hidden="0" customWidth="1"/>
    <x:col min="12" max="12" width="9.5600004196167" hidden="0" customWidth="1"/>
    <x:col min="13" max="13" width="9.5600004196167" hidden="0" customWidth="1"/>
    <x:col min="14" max="14" width="9.5600004196167" hidden="0" customWidth="1"/>
    <x:col min="15" max="15" width="9.5600004196167" hidden="0" customWidth="1"/>
    <x:col min="16" max="16" width="9.5600004196167" hidden="0" customWidth="1"/>
    <x:col min="17" max="17" width="1.1100000143051147" hidden="0" customWidth="1"/>
    <x:col min="18" max="18" width="1.1100000143051147" hidden="0" customWidth="1"/>
    <x:col min="19" max="19" width="1.1100000143051147" hidden="0" customWidth="1"/>
    <x:col min="20" max="20" width="1.1100000143051147" hidden="0" customWidth="1"/>
    <x:col min="21" max="21" width="1.1100000143051147" hidden="0" customWidth="1"/>
    <x:col min="22" max="22" width="1.1100000143051147" hidden="0" customWidth="1"/>
    <x:col min="23" max="23" width="1.1100000143051147" hidden="0" customWidth="1"/>
    <x:col min="24" max="24" width="1.1100000143051147" hidden="0" customWidth="1"/>
    <x:col min="25" max="25" width="1.1100000143051147" hidden="0" customWidth="1"/>
    <x:col min="26" max="26" width="1.1100000143051147" hidden="0" customWidth="1"/>
  </x:cols>
  <x:sheetData>
    <x:row r="1" ht="16.5" customHeight="1">
      <x:c r="A1" s="129" t="str">
        <x:v>STOCK
PLANNING</x:v>
      </x:c>
      <x:c r="B1" s="130"/>
      <x:c r="C1" s="133" t="str">
        <x:v>Inventory Planning Dashboard</x:v>
      </x:c>
      <x:c r="D1" s="133"/>
      <x:c r="E1" s="133"/>
      <x:c r="F1" s="133"/>
      <x:c r="G1" s="133"/>
      <x:c r="H1" s="133"/>
      <x:c r="I1" s="133"/>
      <x:c r="J1" s="133"/>
      <x:c r="K1" s="133"/>
      <x:c r="L1" s="133"/>
      <x:c r="M1" s="133"/>
      <x:c r="N1" s="133"/>
      <x:c r="O1" s="133"/>
      <x:c r="P1" s="133"/>
    </x:row>
    <x:row r="2" ht="16.5" customHeight="1">
      <x:c r="A2" s="129"/>
      <x:c r="B2" s="130"/>
      <x:c r="C2" s="134"/>
      <x:c r="D2" s="134"/>
      <x:c r="E2" s="134"/>
      <x:c r="F2" s="134"/>
      <x:c r="G2" s="134"/>
      <x:c r="H2" s="134"/>
      <x:c r="I2" s="134"/>
      <x:c r="J2" s="134"/>
      <x:c r="K2" s="134"/>
      <x:c r="L2" s="134"/>
      <x:c r="M2" s="134"/>
      <x:c r="N2" s="134"/>
      <x:c r="O2" s="134"/>
      <x:c r="P2" s="134"/>
    </x:row>
    <x:row r="3" ht="16.5" customHeight="1">
      <x:c r="A3" s="121"/>
      <x:c r="B3" s="122"/>
      <x:c r="C3" s="135" t="str">
        <x:v>Latest inventory: July 2026 · demand based on recent retail sales · assumptions are editable</x:v>
      </x:c>
      <x:c r="D3" s="135"/>
      <x:c r="E3" s="135"/>
      <x:c r="F3" s="135"/>
      <x:c r="G3" s="135"/>
      <x:c r="H3" s="135"/>
      <x:c r="I3" s="135"/>
      <x:c r="J3" s="135"/>
      <x:c r="K3" s="135"/>
      <x:c r="L3" s="135"/>
      <x:c r="M3" s="135"/>
      <x:c r="N3" s="135"/>
      <x:c r="O3" s="135"/>
      <x:c r="P3" s="135"/>
    </x:row>
    <x:row r="4" ht="16.5" customHeight="1">
      <x:c r="A4" s="136" t="str">
        <x:v>STATUS</x:v>
      </x:c>
      <x:c r="B4" s="137" t="str">
        <x:v>COUNT</x:v>
      </x:c>
      <x:c r="C4" s="217" t="str">
        <x:v>SKU / locations</x:v>
      </x:c>
      <x:c r="D4" s="218"/>
      <x:c r="E4" s="219"/>
      <x:c r="F4" s="217" t="str">
        <x:v>Order now</x:v>
      </x:c>
      <x:c r="G4" s="218"/>
      <x:c r="H4" s="219"/>
      <x:c r="I4" s="217" t="str">
        <x:v>Recommended units</x:v>
      </x:c>
      <x:c r="J4" s="218"/>
      <x:c r="K4" s="219"/>
      <x:c r="L4" s="217" t="str">
        <x:v>Order value</x:v>
      </x:c>
      <x:c r="M4" s="219"/>
      <x:c r="N4" s="217" t="str">
        <x:v>Review soon</x:v>
      </x:c>
      <x:c r="O4" s="218"/>
      <x:c r="P4" s="219"/>
    </x:row>
    <x:row r="5" ht="16.5" customHeight="1">
      <x:c r="A5" s="142" t="str">
        <x:v>Order now</x:v>
      </x:c>
      <x:c r="B5" s="155" t="n">
        <x:f>COUNTIF('Recommendations'!M2:M501,"Order now")</x:f>
        <x:v>257</x:v>
      </x:c>
      <x:c r="C5" s="220"/>
      <x:c r="D5" s="221"/>
      <x:c r="E5" s="222"/>
      <x:c r="F5" s="220"/>
      <x:c r="G5" s="221"/>
      <x:c r="H5" s="222"/>
      <x:c r="I5" s="220"/>
      <x:c r="J5" s="221"/>
      <x:c r="K5" s="222"/>
      <x:c r="L5" s="220"/>
      <x:c r="M5" s="222"/>
      <x:c r="N5" s="220"/>
      <x:c r="O5" s="221"/>
      <x:c r="P5" s="222"/>
    </x:row>
    <x:row r="6" ht="16.5" customHeight="1">
      <x:c r="A6" s="148" t="str">
        <x:v>Review soon</x:v>
      </x:c>
      <x:c r="B6" s="156" t="n">
        <x:f>COUNTIF('Recommendations'!M2:M501,"Review soon")</x:f>
        <x:v>38</x:v>
      </x:c>
      <x:c r="C6" s="235" t="n">
        <x:f>COUNTA('Recommendations'!A2:A501)</x:f>
        <x:v>500</x:v>
      </x:c>
      <x:c r="D6" s="236"/>
      <x:c r="E6" s="237"/>
      <x:c r="F6" s="235" t="n">
        <x:f>COUNTIF('Recommendations'!M2:M501,"Order now")</x:f>
        <x:v>257</x:v>
      </x:c>
      <x:c r="G6" s="236"/>
      <x:c r="H6" s="237"/>
      <x:c r="I6" s="235" t="n">
        <x:f>SUM('Recommendations'!K2:K501)</x:f>
        <x:v>11761</x:v>
      </x:c>
      <x:c r="J6" s="236"/>
      <x:c r="K6" s="237"/>
      <x:c r="L6" s="245" t="n">
        <x:f>SUM('Recommendations'!N2:N501)</x:f>
        <x:v>3714.5772000000006</x:v>
      </x:c>
      <x:c r="M6" s="246"/>
      <x:c r="N6" s="235" t="n">
        <x:f>COUNTIF('Recommendations'!M2:M501,"Review soon")</x:f>
        <x:v>38</x:v>
      </x:c>
      <x:c r="O6" s="236"/>
      <x:c r="P6" s="237"/>
    </x:row>
    <x:row r="7" ht="16.5" customHeight="1">
      <x:c r="A7" s="153" t="str">
        <x:v>Sufficient stock</x:v>
      </x:c>
      <x:c r="B7" s="157" t="n">
        <x:f>COUNTIF('Recommendations'!M2:M501,"Sufficient stock")</x:f>
        <x:v>205</x:v>
      </x:c>
      <x:c r="C7" s="238"/>
      <x:c r="D7" s="239"/>
      <x:c r="E7" s="240"/>
      <x:c r="F7" s="238"/>
      <x:c r="G7" s="239"/>
      <x:c r="H7" s="240"/>
      <x:c r="I7" s="238"/>
      <x:c r="J7" s="239"/>
      <x:c r="K7" s="240"/>
      <x:c r="L7" s="247"/>
      <x:c r="M7" s="248"/>
      <x:c r="N7" s="238"/>
      <x:c r="O7" s="239"/>
      <x:c r="P7" s="240"/>
    </x:row>
    <x:row r="8" ht="16.5" customHeight="1">
      <x:c r="A8" s="121"/>
      <x:c r="B8" s="122"/>
      <x:c r="C8" s="119"/>
      <x:c r="D8" s="119"/>
      <x:c r="E8" s="119"/>
      <x:c r="F8" s="119"/>
      <x:c r="G8" s="119"/>
      <x:c r="H8" s="119"/>
      <x:c r="I8" s="119"/>
      <x:c r="J8" s="119"/>
      <x:c r="K8" s="119"/>
      <x:c r="L8" s="119"/>
      <x:c r="M8" s="119"/>
      <x:c r="N8" s="119"/>
      <x:c r="O8" s="119"/>
      <x:c r="P8" s="119"/>
    </x:row>
    <x:row r="9" ht="16.5" customHeight="1">
      <x:c r="A9" s="125" t="str">
        <x:v>POLICY INPUTS</x:v>
      </x:c>
      <x:c r="B9" s="126"/>
      <x:c r="C9" s="119"/>
      <x:c r="D9" s="119"/>
      <x:c r="E9" s="119"/>
      <x:c r="F9" s="119"/>
      <x:c r="G9" s="119"/>
      <x:c r="H9" s="119"/>
      <x:c r="I9" s="119"/>
      <x:c r="J9" s="119"/>
      <x:c r="K9" s="119"/>
      <x:c r="L9" s="119"/>
      <x:c r="M9" s="119"/>
      <x:c r="N9" s="119"/>
      <x:c r="O9" s="119"/>
      <x:c r="P9" s="119"/>
    </x:row>
    <x:row r="10" ht="16.5" customHeight="1">
      <x:c r="A10" s="160" t="str">
        <x:v>Demand months</x:v>
      </x:c>
      <x:c r="B10" s="165" t="n">
        <x:f>'Assumptions'!B6</x:f>
        <x:v>3</x:v>
      </x:c>
      <x:c r="C10" s="119"/>
      <x:c r="D10" s="119"/>
      <x:c r="E10" s="119"/>
      <x:c r="F10" s="119"/>
      <x:c r="G10" s="119"/>
      <x:c r="H10" s="119"/>
      <x:c r="I10" s="119"/>
      <x:c r="J10" s="119"/>
      <x:c r="K10" s="119"/>
      <x:c r="L10" s="119"/>
      <x:c r="M10" s="119"/>
      <x:c r="N10" s="119"/>
      <x:c r="O10" s="119"/>
      <x:c r="P10" s="119"/>
    </x:row>
    <x:row r="11" ht="16.5" customHeight="1">
      <x:c r="A11" s="166" t="str">
        <x:v>Lead time (wks)</x:v>
      </x:c>
      <x:c r="B11" s="165" t="n">
        <x:f>'Assumptions'!B7</x:f>
        <x:v>2</x:v>
      </x:c>
      <x:c r="C11" s="119"/>
      <x:c r="D11" s="119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</x:row>
    <x:row r="12" ht="16.5" customHeight="1">
      <x:c r="A12" s="160" t="str">
        <x:v>Review period</x:v>
      </x:c>
      <x:c r="B12" s="165" t="n">
        <x:f>'Assumptions'!B8</x:f>
        <x:v>4</x:v>
      </x:c>
      <x:c r="C12" s="119"/>
      <x:c r="D12" s="119"/>
      <x:c r="E12" s="119"/>
      <x:c r="F12" s="119"/>
      <x:c r="G12" s="119"/>
      <x:c r="H12" s="119"/>
      <x:c r="I12" s="119"/>
      <x:c r="J12" s="119"/>
      <x:c r="K12" s="119"/>
      <x:c r="L12" s="119"/>
      <x:c r="M12" s="119"/>
      <x:c r="N12" s="119"/>
      <x:c r="O12" s="119"/>
      <x:c r="P12" s="119"/>
    </x:row>
    <x:row r="13" ht="16.5" customHeight="1">
      <x:c r="A13" s="166" t="str">
        <x:v>Safety stock</x:v>
      </x:c>
      <x:c r="B13" s="169" t="n">
        <x:f>'Assumptions'!B9</x:f>
        <x:v>0.2</x:v>
      </x:c>
      <x:c r="C13" s="119"/>
      <x:c r="D13" s="119"/>
      <x:c r="E13" s="119"/>
      <x:c r="F13" s="119"/>
      <x:c r="G13" s="119"/>
      <x:c r="H13" s="119"/>
      <x:c r="I13" s="119"/>
      <x:c r="J13" s="119"/>
      <x:c r="K13" s="119"/>
      <x:c r="L13" s="119"/>
      <x:c r="M13" s="119"/>
      <x:c r="N13" s="119"/>
      <x:c r="O13" s="119"/>
      <x:c r="P13" s="119"/>
    </x:row>
    <x:row r="14" ht="16.5" customHeight="1">
      <x:c r="A14" s="121"/>
      <x:c r="B14" s="122"/>
      <x:c r="C14" s="119"/>
      <x:c r="D14" s="119"/>
      <x:c r="E14" s="119"/>
      <x:c r="F14" s="119"/>
      <x:c r="G14" s="119"/>
      <x:c r="H14" s="119"/>
      <x:c r="I14" s="119"/>
      <x:c r="J14" s="119"/>
      <x:c r="K14" s="119"/>
      <x:c r="L14" s="119"/>
      <x:c r="M14" s="119"/>
      <x:c r="N14" s="119"/>
      <x:c r="O14" s="119"/>
      <x:c r="P14" s="119"/>
    </x:row>
    <x:row r="15" ht="16.5" customHeight="1">
      <x:c r="A15" s="125" t="str">
        <x:v>MODEL SCOPE</x:v>
      </x:c>
      <x:c r="B15" s="126"/>
      <x:c r="C15" s="119"/>
      <x:c r="D15" s="119"/>
      <x:c r="E15" s="119"/>
      <x:c r="F15" s="119"/>
      <x:c r="G15" s="119"/>
      <x:c r="H15" s="119"/>
      <x:c r="I15" s="119"/>
      <x:c r="J15" s="119"/>
      <x:c r="K15" s="119"/>
      <x:c r="L15" s="119"/>
      <x:c r="M15" s="119"/>
      <x:c r="N15" s="119"/>
      <x:c r="O15" s="119"/>
      <x:c r="P15" s="119"/>
    </x:row>
    <x:row r="16" ht="16.5" customHeight="1">
      <x:c r="A16" s="180" t="str">
        <x:v>Latest stock
July 2026</x:v>
      </x:c>
      <x:c r="B16" s="181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  <x:c r="M16" s="119"/>
      <x:c r="N16" s="119"/>
      <x:c r="O16" s="119"/>
      <x:c r="P16" s="119"/>
    </x:row>
    <x:row r="17" ht="16.5" customHeight="1">
      <x:c r="A17" s="182"/>
      <x:c r="B17" s="183"/>
      <x:c r="C17" s="119"/>
      <x:c r="D17" s="119"/>
      <x:c r="E17" s="119"/>
      <x:c r="F17" s="119"/>
      <x:c r="G17" s="119"/>
      <x:c r="H17" s="119"/>
      <x:c r="I17" s="119"/>
      <x:c r="J17" s="119"/>
      <x:c r="K17" s="119"/>
      <x:c r="L17" s="119"/>
      <x:c r="M17" s="119"/>
      <x:c r="N17" s="119"/>
      <x:c r="O17" s="119"/>
      <x:c r="P17" s="119"/>
    </x:row>
    <x:row r="18" ht="16.5" customHeight="1">
      <x:c r="A18" s="180" t="str">
        <x:v>Retail demand
latest 3 months</x:v>
      </x:c>
      <x:c r="B18" s="181"/>
      <x:c r="C18" s="119"/>
      <x:c r="D18" s="119"/>
      <x:c r="E18" s="119"/>
      <x:c r="F18" s="119"/>
      <x:c r="G18" s="119"/>
      <x:c r="H18" s="119"/>
      <x:c r="I18" s="119"/>
      <x:c r="J18" s="119"/>
      <x:c r="K18" s="119"/>
      <x:c r="L18" s="119"/>
      <x:c r="M18" s="119"/>
      <x:c r="N18" s="119"/>
      <x:c r="O18" s="119"/>
      <x:c r="P18" s="119"/>
    </x:row>
    <x:row r="19" ht="16.5" customHeight="1">
      <x:c r="A19" s="182"/>
      <x:c r="B19" s="183"/>
      <x:c r="C19" s="119"/>
      <x:c r="D19" s="119"/>
      <x:c r="E19" s="119"/>
      <x:c r="F19" s="119"/>
      <x:c r="G19" s="119"/>
      <x:c r="H19" s="119"/>
      <x:c r="I19" s="119"/>
      <x:c r="J19" s="119"/>
      <x:c r="K19" s="119"/>
      <x:c r="L19" s="119"/>
      <x:c r="M19" s="119"/>
      <x:c r="N19" s="119"/>
      <x:c r="O19" s="119"/>
      <x:c r="P19" s="119"/>
    </x:row>
    <x:row r="20" ht="16.5" customHeight="1">
      <x:c r="A20" s="121"/>
      <x:c r="B20" s="122"/>
      <x:c r="C20" s="119"/>
      <x:c r="D20" s="119"/>
      <x:c r="E20" s="119"/>
      <x:c r="F20" s="119"/>
      <x:c r="G20" s="119"/>
      <x:c r="H20" s="119"/>
      <x:c r="I20" s="119"/>
      <x:c r="J20" s="119"/>
      <x:c r="K20" s="119"/>
      <x:c r="L20" s="119"/>
      <x:c r="M20" s="119"/>
      <x:c r="N20" s="119"/>
      <x:c r="O20" s="119"/>
      <x:c r="P20" s="119"/>
    </x:row>
    <x:row r="21" ht="16.5" customHeight="1">
      <x:c r="A21" s="197" t="str">
        <x:v>The output is a review list, not a purchase order. Supplier lead times, pack sizes and minimum orders were not available.</x:v>
      </x:c>
      <x:c r="B21" s="198"/>
      <x:c r="C21" s="119"/>
      <x:c r="D21" s="119"/>
      <x:c r="E21" s="119"/>
      <x:c r="F21" s="119"/>
      <x:c r="G21" s="119"/>
      <x:c r="H21" s="119"/>
      <x:c r="I21" s="119"/>
      <x:c r="J21" s="119"/>
      <x:c r="K21" s="119"/>
      <x:c r="L21" s="119"/>
      <x:c r="M21" s="119"/>
      <x:c r="N21" s="119"/>
      <x:c r="O21" s="119"/>
      <x:c r="P21" s="119"/>
    </x:row>
    <x:row r="22" ht="16.5" customHeight="1">
      <x:c r="A22" s="199"/>
      <x:c r="B22" s="200"/>
      <x:c r="C22" s="119"/>
      <x:c r="D22" s="119"/>
      <x:c r="E22" s="119"/>
      <x:c r="F22" s="119"/>
      <x:c r="G22" s="119"/>
      <x:c r="H22" s="119"/>
      <x:c r="I22" s="119"/>
      <x:c r="J22" s="119"/>
      <x:c r="K22" s="119"/>
      <x:c r="L22" s="119"/>
      <x:c r="M22" s="119"/>
      <x:c r="N22" s="119"/>
      <x:c r="O22" s="119"/>
      <x:c r="P22" s="119"/>
    </x:row>
    <x:row r="23" ht="16.5" customHeight="1">
      <x:c r="A23" s="199"/>
      <x:c r="B23" s="200"/>
      <x:c r="C23" s="119"/>
      <x:c r="D23" s="119"/>
      <x:c r="E23" s="119"/>
      <x:c r="F23" s="119"/>
      <x:c r="G23" s="119"/>
      <x:c r="H23" s="119"/>
      <x:c r="I23" s="119"/>
      <x:c r="J23" s="119"/>
      <x:c r="K23" s="119"/>
      <x:c r="L23" s="119"/>
      <x:c r="M23" s="119"/>
      <x:c r="N23" s="119"/>
      <x:c r="O23" s="119"/>
      <x:c r="P23" s="119"/>
    </x:row>
    <x:row r="24" ht="16.5" customHeight="1">
      <x:c r="A24" s="199"/>
      <x:c r="B24" s="200"/>
      <x:c r="C24" s="250" t="str">
        <x:v>HIGHEST-PRIORITY RECOMMENDATIONS</x:v>
      </x:c>
      <x:c r="D24" s="250"/>
      <x:c r="E24" s="250"/>
      <x:c r="F24" s="250"/>
      <x:c r="G24" s="250"/>
      <x:c r="H24" s="250"/>
      <x:c r="I24" s="250"/>
      <x:c r="J24" s="250"/>
      <x:c r="K24" s="250"/>
      <x:c r="L24" s="250"/>
      <x:c r="M24" s="250"/>
      <x:c r="N24" s="250"/>
      <x:c r="O24" s="250"/>
      <x:c r="P24" s="250"/>
    </x:row>
    <x:row r="25" ht="16.5" customHeight="1">
      <x:c r="A25" s="199"/>
      <x:c r="B25" s="200"/>
      <x:c r="C25" s="254" t="str">
        <x:v>SKU</x:v>
      </x:c>
      <x:c r="D25" s="254"/>
      <x:c r="E25" s="254" t="str">
        <x:v>Product</x:v>
      </x:c>
      <x:c r="F25" s="254"/>
      <x:c r="G25" s="254"/>
      <x:c r="H25" s="254" t="str">
        <x:v>Location</x:v>
      </x:c>
      <x:c r="I25" s="254"/>
      <x:c r="J25" s="254" t="str">
        <x:v>Current Qty</x:v>
      </x:c>
      <x:c r="K25" s="254"/>
      <x:c r="L25" s="254" t="str">
        <x:v>Weekly Demand</x:v>
      </x:c>
      <x:c r="M25" s="254"/>
      <x:c r="N25" s="254" t="str">
        <x:v>Recommended Order</x:v>
      </x:c>
      <x:c r="O25" s="254"/>
      <x:c r="P25" s="254"/>
    </x:row>
    <x:row r="26" ht="16.5" customHeight="1">
      <x:c r="A26" s="199"/>
      <x:c r="B26" s="200"/>
      <x:c r="C26" s="255" t="str">
        <x:f>'Recommendations'!A2</x:f>
        <x:v>SKU0583</x:v>
      </x:c>
      <x:c r="D26" s="255"/>
      <x:c r="E26" s="255" t="str">
        <x:f>'Recommendations'!B2</x:f>
        <x:v>Product 0583</x:v>
      </x:c>
      <x:c r="F26" s="255"/>
      <x:c r="G26" s="255"/>
      <x:c r="H26" s="255" t="str">
        <x:f>'Recommendations'!C2</x:f>
        <x:v>Store A</x:v>
      </x:c>
      <x:c r="I26" s="255"/>
      <x:c r="J26" s="257" t="n">
        <x:f>'Recommendations'!E2</x:f>
        <x:v>510</x:v>
      </x:c>
      <x:c r="K26" s="257"/>
      <x:c r="L26" s="257" t="n">
        <x:f>'Recommendations'!F2</x:f>
        <x:v>119.2283</x:v>
      </x:c>
      <x:c r="M26" s="257"/>
      <x:c r="N26" s="259" t="n">
        <x:f>'Recommendations'!K2</x:f>
        <x:v>349</x:v>
      </x:c>
      <x:c r="O26" s="259"/>
      <x:c r="P26" s="259"/>
    </x:row>
    <x:row r="27" ht="16.5" customHeight="1">
      <x:c r="A27" s="201"/>
      <x:c r="B27" s="202"/>
      <x:c r="C27" s="261" t="str">
        <x:f>'Recommendations'!A3</x:f>
        <x:v>SKU0583</x:v>
      </x:c>
      <x:c r="D27" s="261"/>
      <x:c r="E27" s="261" t="str">
        <x:f>'Recommendations'!B3</x:f>
        <x:v>Product 0583</x:v>
      </x:c>
      <x:c r="F27" s="261"/>
      <x:c r="G27" s="261"/>
      <x:c r="H27" s="261" t="str">
        <x:f>'Recommendations'!C3</x:f>
        <x:v>Store B</x:v>
      </x:c>
      <x:c r="I27" s="261"/>
      <x:c r="J27" s="263" t="n">
        <x:f>'Recommendations'!E3</x:f>
        <x:v>354</x:v>
      </x:c>
      <x:c r="K27" s="263"/>
      <x:c r="L27" s="263" t="n">
        <x:f>'Recommendations'!F3</x:f>
        <x:v>102.5652</x:v>
      </x:c>
      <x:c r="M27" s="263"/>
      <x:c r="N27" s="265" t="n">
        <x:f>'Recommendations'!K3</x:f>
        <x:v>385</x:v>
      </x:c>
      <x:c r="O27" s="265"/>
      <x:c r="P27" s="265"/>
    </x:row>
    <x:row r="28" ht="16.5" customHeight="1">
      <x:c r="A28" s="121"/>
      <x:c r="B28" s="122"/>
      <x:c r="C28" s="255" t="str">
        <x:f>'Recommendations'!A4</x:f>
        <x:v>SKU0883</x:v>
      </x:c>
      <x:c r="D28" s="255"/>
      <x:c r="E28" s="255" t="str">
        <x:f>'Recommendations'!B4</x:f>
        <x:v>Product 0883</x:v>
      </x:c>
      <x:c r="F28" s="255"/>
      <x:c r="G28" s="255"/>
      <x:c r="H28" s="255" t="str">
        <x:f>'Recommendations'!C4</x:f>
        <x:v>Store B</x:v>
      </x:c>
      <x:c r="I28" s="255"/>
      <x:c r="J28" s="257" t="n">
        <x:f>'Recommendations'!E4</x:f>
        <x:v>168</x:v>
      </x:c>
      <x:c r="K28" s="257"/>
      <x:c r="L28" s="257" t="n">
        <x:f>'Recommendations'!F4</x:f>
        <x:v>70.837</x:v>
      </x:c>
      <x:c r="M28" s="257"/>
      <x:c r="N28" s="259" t="n">
        <x:f>'Recommendations'!K4</x:f>
        <x:v>343</x:v>
      </x:c>
      <x:c r="O28" s="259"/>
      <x:c r="P28" s="259"/>
    </x:row>
    <x:row r="29" ht="16.5" customHeight="1">
      <x:c r="A29" s="121"/>
      <x:c r="B29" s="122"/>
      <x:c r="C29" s="261" t="str">
        <x:f>'Recommendations'!A5</x:f>
        <x:v>SKU0583</x:v>
      </x:c>
      <x:c r="D29" s="261"/>
      <x:c r="E29" s="261" t="str">
        <x:f>'Recommendations'!B5</x:f>
        <x:v>Product 0583</x:v>
      </x:c>
      <x:c r="F29" s="261"/>
      <x:c r="G29" s="261"/>
      <x:c r="H29" s="261" t="str">
        <x:f>'Recommendations'!C5</x:f>
        <x:v>Store C</x:v>
      </x:c>
      <x:c r="I29" s="261"/>
      <x:c r="J29" s="263" t="n">
        <x:f>'Recommendations'!E5</x:f>
        <x:v>1187</x:v>
      </x:c>
      <x:c r="K29" s="263"/>
      <x:c r="L29" s="263" t="n">
        <x:f>'Recommendations'!F5</x:f>
        <x:v>56</x:v>
      </x:c>
      <x:c r="M29" s="263"/>
      <x:c r="N29" s="265" t="n">
        <x:f>'Recommendations'!K5</x:f>
        <x:v>0</x:v>
      </x:c>
      <x:c r="O29" s="265"/>
      <x:c r="P29" s="265"/>
    </x:row>
    <x:row r="30" ht="16.5" customHeight="1">
      <x:c r="A30" s="121"/>
      <x:c r="B30" s="122"/>
      <x:c r="C30" s="255" t="str">
        <x:f>'Recommendations'!A6</x:f>
        <x:v>SKU0189</x:v>
      </x:c>
      <x:c r="D30" s="255"/>
      <x:c r="E30" s="255" t="str">
        <x:f>'Recommendations'!B6</x:f>
        <x:v>Product 0189</x:v>
      </x:c>
      <x:c r="F30" s="255"/>
      <x:c r="G30" s="255"/>
      <x:c r="H30" s="255" t="str">
        <x:f>'Recommendations'!C6</x:f>
        <x:v>Store A</x:v>
      </x:c>
      <x:c r="I30" s="255"/>
      <x:c r="J30" s="257" t="n">
        <x:f>'Recommendations'!E6</x:f>
        <x:v>120</x:v>
      </x:c>
      <x:c r="K30" s="257"/>
      <x:c r="L30" s="257" t="n">
        <x:f>'Recommendations'!F6</x:f>
        <x:v>52.5761</x:v>
      </x:c>
      <x:c r="M30" s="257"/>
      <x:c r="N30" s="259" t="n">
        <x:f>'Recommendations'!K6</x:f>
        <x:v>259</x:v>
      </x:c>
      <x:c r="O30" s="259"/>
      <x:c r="P30" s="259"/>
    </x:row>
    <x:row r="31" ht="16.5" customHeight="1">
      <x:c r="A31" s="121"/>
      <x:c r="B31" s="122"/>
      <x:c r="C31" s="261" t="str">
        <x:f>'Recommendations'!A7</x:f>
        <x:v>SKU0867</x:v>
      </x:c>
      <x:c r="D31" s="261"/>
      <x:c r="E31" s="261" t="str">
        <x:f>'Recommendations'!B7</x:f>
        <x:v>Product 0867</x:v>
      </x:c>
      <x:c r="F31" s="261"/>
      <x:c r="G31" s="261"/>
      <x:c r="H31" s="261" t="str">
        <x:f>'Recommendations'!C7</x:f>
        <x:v>Store A</x:v>
      </x:c>
      <x:c r="I31" s="261"/>
      <x:c r="J31" s="263" t="n">
        <x:f>'Recommendations'!E7</x:f>
        <x:v>-45</x:v>
      </x:c>
      <x:c r="K31" s="263"/>
      <x:c r="L31" s="263" t="n">
        <x:f>'Recommendations'!F7</x:f>
        <x:v>45.1957</x:v>
      </x:c>
      <x:c r="M31" s="263"/>
      <x:c r="N31" s="265" t="n">
        <x:f>'Recommendations'!K7</x:f>
        <x:v>371</x:v>
      </x:c>
      <x:c r="O31" s="265"/>
      <x:c r="P31" s="265"/>
    </x:row>
    <x:row r="32" ht="16.5" customHeight="1">
      <x:c r="A32" s="121"/>
      <x:c r="B32" s="122"/>
      <x:c r="C32" s="255" t="str">
        <x:f>'Recommendations'!A8</x:f>
        <x:v>SKU0867</x:v>
      </x:c>
      <x:c r="D32" s="255"/>
      <x:c r="E32" s="255" t="str">
        <x:f>'Recommendations'!B8</x:f>
        <x:v>Product 0867</x:v>
      </x:c>
      <x:c r="F32" s="255"/>
      <x:c r="G32" s="255"/>
      <x:c r="H32" s="255" t="str">
        <x:f>'Recommendations'!C8</x:f>
        <x:v>Store B</x:v>
      </x:c>
      <x:c r="I32" s="255"/>
      <x:c r="J32" s="257" t="n">
        <x:f>'Recommendations'!E8</x:f>
        <x:v>115</x:v>
      </x:c>
      <x:c r="K32" s="257"/>
      <x:c r="L32" s="257" t="n">
        <x:f>'Recommendations'!F8</x:f>
        <x:v>43.9783</x:v>
      </x:c>
      <x:c r="M32" s="257"/>
      <x:c r="N32" s="259" t="n">
        <x:f>'Recommendations'!K8</x:f>
        <x:v>202</x:v>
      </x:c>
      <x:c r="O32" s="259"/>
      <x:c r="P32" s="259"/>
    </x:row>
    <x:row r="33" ht="16.5" customHeight="1">
      <x:c r="A33" s="121"/>
      <x:c r="B33" s="122"/>
      <x:c r="C33" s="261" t="str">
        <x:f>'Recommendations'!A9</x:f>
        <x:v>SKU0867</x:v>
      </x:c>
      <x:c r="D33" s="261"/>
      <x:c r="E33" s="261" t="str">
        <x:f>'Recommendations'!B9</x:f>
        <x:v>Product 0867</x:v>
      </x:c>
      <x:c r="F33" s="261"/>
      <x:c r="G33" s="261"/>
      <x:c r="H33" s="261" t="str">
        <x:f>'Recommendations'!C9</x:f>
        <x:v>Store C</x:v>
      </x:c>
      <x:c r="I33" s="261"/>
      <x:c r="J33" s="263" t="n">
        <x:f>'Recommendations'!E9</x:f>
        <x:v>197</x:v>
      </x:c>
      <x:c r="K33" s="263"/>
      <x:c r="L33" s="263" t="n">
        <x:f>'Recommendations'!F9</x:f>
        <x:v>28.913</x:v>
      </x:c>
      <x:c r="M33" s="263"/>
      <x:c r="N33" s="265" t="n">
        <x:f>'Recommendations'!K9</x:f>
        <x:v>12</x:v>
      </x:c>
      <x:c r="O33" s="265"/>
      <x:c r="P33" s="265"/>
    </x:row>
    <x:row r="34" ht="16.5" customHeight="1">
      <x:c r="A34" s="121"/>
      <x:c r="B34" s="122"/>
      <x:c r="C34" s="255" t="str">
        <x:f>'Recommendations'!A10</x:f>
        <x:v>SKU1629</x:v>
      </x:c>
      <x:c r="D34" s="255"/>
      <x:c r="E34" s="255" t="str">
        <x:f>'Recommendations'!B10</x:f>
        <x:v>Product 1629</x:v>
      </x:c>
      <x:c r="F34" s="255"/>
      <x:c r="G34" s="255"/>
      <x:c r="H34" s="255" t="str">
        <x:f>'Recommendations'!C10</x:f>
        <x:v>Store C</x:v>
      </x:c>
      <x:c r="I34" s="255"/>
      <x:c r="J34" s="257" t="n">
        <x:f>'Recommendations'!E10</x:f>
        <x:v>112</x:v>
      </x:c>
      <x:c r="K34" s="257"/>
      <x:c r="L34" s="257" t="n">
        <x:f>'Recommendations'!F10</x:f>
        <x:v>28.2283</x:v>
      </x:c>
      <x:c r="M34" s="257"/>
      <x:c r="N34" s="259" t="n">
        <x:f>'Recommendations'!K10</x:f>
        <x:v>92</x:v>
      </x:c>
      <x:c r="O34" s="259"/>
      <x:c r="P34" s="259"/>
    </x:row>
    <x:row r="35" ht="16.5" customHeight="1">
      <x:c r="A35" s="121"/>
      <x:c r="B35" s="122"/>
      <x:c r="C35" s="261" t="str">
        <x:f>'Recommendations'!A11</x:f>
        <x:v>SKU0861</x:v>
      </x:c>
      <x:c r="D35" s="261"/>
      <x:c r="E35" s="261" t="str">
        <x:f>'Recommendations'!B11</x:f>
        <x:v>Product 0861</x:v>
      </x:c>
      <x:c r="F35" s="261"/>
      <x:c r="G35" s="261"/>
      <x:c r="H35" s="261" t="str">
        <x:f>'Recommendations'!C11</x:f>
        <x:v>Store C</x:v>
      </x:c>
      <x:c r="I35" s="261"/>
      <x:c r="J35" s="263" t="n">
        <x:f>'Recommendations'!E11</x:f>
        <x:v>0</x:v>
      </x:c>
      <x:c r="K35" s="263"/>
      <x:c r="L35" s="263" t="n">
        <x:f>'Recommendations'!F11</x:f>
        <x:v>27.0109</x:v>
      </x:c>
      <x:c r="M35" s="263"/>
      <x:c r="N35" s="265" t="n">
        <x:f>'Recommendations'!K11</x:f>
        <x:v>195</x:v>
      </x:c>
      <x:c r="O35" s="265"/>
      <x:c r="P35" s="265"/>
    </x:row>
    <x:row r="36" ht="16.5" customHeight="1">
      <x:c r="A36" s="121"/>
      <x:c r="B36" s="122"/>
      <x:c r="C36" s="119"/>
      <x:c r="D36" s="119"/>
      <x:c r="E36" s="119"/>
      <x:c r="F36" s="119"/>
      <x:c r="G36" s="119"/>
      <x:c r="H36" s="119"/>
      <x:c r="I36" s="119"/>
      <x:c r="J36" s="119"/>
      <x:c r="K36" s="119"/>
      <x:c r="L36" s="119"/>
      <x:c r="M36" s="119"/>
      <x:c r="N36" s="119"/>
      <x:c r="O36" s="119"/>
      <x:c r="P36" s="119"/>
    </x:row>
    <x:row r="37" ht="16.5" customHeight="1">
      <x:c r="A37" s="121"/>
      <x:c r="B37" s="122"/>
      <x:c r="C37" s="250" t="str">
        <x:v>HOW TO USE THIS MODEL</x:v>
      </x:c>
      <x:c r="D37" s="250"/>
      <x:c r="E37" s="250"/>
      <x:c r="F37" s="250"/>
      <x:c r="G37" s="250"/>
      <x:c r="H37" s="250"/>
      <x:c r="I37" s="250"/>
      <x:c r="J37" s="250"/>
      <x:c r="K37" s="250"/>
      <x:c r="L37" s="250"/>
      <x:c r="M37" s="250"/>
      <x:c r="N37" s="250"/>
      <x:c r="O37" s="250"/>
      <x:c r="P37" s="250"/>
    </x:row>
    <x:row r="38" ht="16.5" customHeight="1">
      <x:c r="A38" s="121"/>
      <x:c r="B38" s="122"/>
      <x:c r="C38" s="166" t="str">
        <x:v>1  Update inventory and sales source data</x:v>
      </x:c>
      <x:c r="D38" s="166"/>
      <x:c r="E38" s="166"/>
      <x:c r="F38" s="166"/>
      <x:c r="G38" s="166"/>
      <x:c r="H38" s="166"/>
      <x:c r="I38" s="166"/>
      <x:c r="J38" s="166"/>
      <x:c r="K38" s="166"/>
      <x:c r="L38" s="166"/>
      <x:c r="M38" s="166"/>
      <x:c r="N38" s="166"/>
      <x:c r="O38" s="166"/>
      <x:c r="P38" s="166"/>
    </x:row>
    <x:row r="39" ht="16.5" customHeight="1">
      <x:c r="A39" s="121"/>
      <x:c r="B39" s="122"/>
      <x:c r="C39" s="160" t="str">
        <x:v>2  Replace assumptions with supplier-specific values</x:v>
      </x:c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  <x:c r="N39" s="160"/>
      <x:c r="O39" s="160"/>
      <x:c r="P39" s="160"/>
    </x:row>
    <x:row r="40" ht="16.5" customHeight="1">
      <x:c r="A40" s="121"/>
      <x:c r="B40" s="122"/>
      <x:c r="C40" s="166" t="str">
        <x:v>3  Review Order now lines and apply carton / minimum-order constraints</x:v>
      </x:c>
      <x:c r="D40" s="166"/>
      <x:c r="E40" s="166"/>
      <x:c r="F40" s="166"/>
      <x:c r="G40" s="166"/>
      <x:c r="H40" s="166"/>
      <x:c r="I40" s="166"/>
      <x:c r="J40" s="166"/>
      <x:c r="K40" s="166"/>
      <x:c r="L40" s="166"/>
      <x:c r="M40" s="166"/>
      <x:c r="N40" s="166"/>
      <x:c r="O40" s="166"/>
      <x:c r="P40" s="166"/>
    </x:row>
    <x:row r="41" ht="16.5" customHeight="1">
      <x:c r="A41" s="121"/>
      <x:c r="B41" s="122"/>
      <x:c r="C41" s="119"/>
      <x:c r="D41" s="119"/>
      <x:c r="E41" s="119"/>
      <x:c r="F41" s="119"/>
      <x:c r="G41" s="119"/>
      <x:c r="H41" s="119"/>
      <x:c r="I41" s="119"/>
      <x:c r="J41" s="119"/>
      <x:c r="K41" s="119"/>
      <x:c r="L41" s="119"/>
      <x:c r="M41" s="119"/>
      <x:c r="N41" s="119"/>
      <x:c r="O41" s="119"/>
      <x:c r="P41" s="119"/>
    </x:row>
    <x:row r="42" ht="16.5" customHeight="1">
      <x:c r="A42" s="121"/>
      <x:c r="B42" s="122"/>
      <x:c r="C42" s="119"/>
      <x:c r="D42" s="119"/>
      <x:c r="E42" s="119"/>
      <x:c r="F42" s="119"/>
      <x:c r="G42" s="119"/>
      <x:c r="H42" s="119"/>
      <x:c r="I42" s="119"/>
      <x:c r="J42" s="119"/>
      <x:c r="K42" s="119"/>
      <x:c r="L42" s="119"/>
      <x:c r="M42" s="119"/>
      <x:c r="N42" s="119"/>
      <x:c r="O42" s="119"/>
      <x:c r="P42" s="119"/>
    </x:row>
    <x:row r="43" ht="16.5" customHeight="1">
      <x:c r="A43" s="121"/>
      <x:c r="B43" s="122"/>
      <x:c r="C43" s="119"/>
      <x:c r="D43" s="119"/>
      <x:c r="E43" s="119"/>
      <x:c r="F43" s="119"/>
      <x:c r="G43" s="119"/>
      <x:c r="H43" s="119"/>
      <x:c r="I43" s="119"/>
      <x:c r="J43" s="119"/>
      <x:c r="K43" s="119"/>
      <x:c r="L43" s="119"/>
      <x:c r="M43" s="119"/>
      <x:c r="N43" s="119"/>
      <x:c r="O43" s="119"/>
      <x:c r="P43" s="119"/>
    </x:row>
    <x:row r="44" ht="16.5" customHeight="1">
      <x:c r="A44" s="121"/>
      <x:c r="B44" s="122"/>
      <x:c r="C44" s="119"/>
      <x:c r="D44" s="119"/>
      <x:c r="E44" s="119"/>
      <x:c r="F44" s="119"/>
      <x:c r="G44" s="119"/>
      <x:c r="H44" s="119"/>
      <x:c r="I44" s="119"/>
      <x:c r="J44" s="119"/>
      <x:c r="K44" s="119"/>
      <x:c r="L44" s="119"/>
      <x:c r="M44" s="119"/>
      <x:c r="N44" s="119"/>
      <x:c r="O44" s="119"/>
      <x:c r="P44" s="119"/>
    </x:row>
  </x:sheetData>
  <x:mergeCells>
    <x:mergeCell ref="A1:B2"/>
    <x:mergeCell ref="C1:P2"/>
    <x:mergeCell ref="C3:P3"/>
    <x:mergeCell ref="A9:B9"/>
    <x:mergeCell ref="A15:B15"/>
    <x:mergeCell ref="A16:B17"/>
    <x:mergeCell ref="A18:B19"/>
    <x:mergeCell ref="A21:B27"/>
    <x:mergeCell ref="C4:E5"/>
    <x:mergeCell ref="C6:E7"/>
    <x:mergeCell ref="F4:H5"/>
    <x:mergeCell ref="F6:H7"/>
    <x:mergeCell ref="I4:K5"/>
    <x:mergeCell ref="I6:K7"/>
    <x:mergeCell ref="L4:M5"/>
    <x:mergeCell ref="L6:M7"/>
    <x:mergeCell ref="N4:P5"/>
    <x:mergeCell ref="N6:P7"/>
    <x:mergeCell ref="C24:P24"/>
    <x:mergeCell ref="C25:D25"/>
    <x:mergeCell ref="E25:G25"/>
    <x:mergeCell ref="H25:I25"/>
    <x:mergeCell ref="J25:K25"/>
    <x:mergeCell ref="L25:M25"/>
    <x:mergeCell ref="N25:P25"/>
    <x:mergeCell ref="C26:D26"/>
    <x:mergeCell ref="E26:G26"/>
    <x:mergeCell ref="H26:I26"/>
    <x:mergeCell ref="J26:K26"/>
    <x:mergeCell ref="L26:M26"/>
    <x:mergeCell ref="N26:P26"/>
    <x:mergeCell ref="C27:D27"/>
    <x:mergeCell ref="E27:G27"/>
    <x:mergeCell ref="H27:I27"/>
    <x:mergeCell ref="J27:K27"/>
    <x:mergeCell ref="L27:M27"/>
    <x:mergeCell ref="N27:P27"/>
    <x:mergeCell ref="C28:D28"/>
    <x:mergeCell ref="E28:G28"/>
    <x:mergeCell ref="H28:I28"/>
    <x:mergeCell ref="J28:K28"/>
    <x:mergeCell ref="L28:M28"/>
    <x:mergeCell ref="N28:P28"/>
    <x:mergeCell ref="C29:D29"/>
    <x:mergeCell ref="E29:G29"/>
    <x:mergeCell ref="H29:I29"/>
    <x:mergeCell ref="J29:K29"/>
    <x:mergeCell ref="L29:M29"/>
    <x:mergeCell ref="N29:P29"/>
    <x:mergeCell ref="C30:D30"/>
    <x:mergeCell ref="E30:G30"/>
    <x:mergeCell ref="H30:I30"/>
    <x:mergeCell ref="J30:K30"/>
    <x:mergeCell ref="L30:M30"/>
    <x:mergeCell ref="N30:P30"/>
    <x:mergeCell ref="C31:D31"/>
    <x:mergeCell ref="E31:G31"/>
    <x:mergeCell ref="H31:I31"/>
    <x:mergeCell ref="J31:K31"/>
    <x:mergeCell ref="L31:M31"/>
    <x:mergeCell ref="N31:P31"/>
    <x:mergeCell ref="C32:D32"/>
    <x:mergeCell ref="E32:G32"/>
    <x:mergeCell ref="H32:I32"/>
    <x:mergeCell ref="J32:K32"/>
    <x:mergeCell ref="L32:M32"/>
    <x:mergeCell ref="N32:P32"/>
    <x:mergeCell ref="C33:D33"/>
    <x:mergeCell ref="E33:G33"/>
    <x:mergeCell ref="H33:I33"/>
    <x:mergeCell ref="J33:K33"/>
    <x:mergeCell ref="L33:M33"/>
    <x:mergeCell ref="N33:P33"/>
    <x:mergeCell ref="C34:D34"/>
    <x:mergeCell ref="E34:G34"/>
    <x:mergeCell ref="H34:I34"/>
    <x:mergeCell ref="J34:K34"/>
    <x:mergeCell ref="L34:M34"/>
    <x:mergeCell ref="N34:P34"/>
    <x:mergeCell ref="C35:D35"/>
    <x:mergeCell ref="E35:G35"/>
    <x:mergeCell ref="H35:I35"/>
    <x:mergeCell ref="J35:K35"/>
    <x:mergeCell ref="L35:M35"/>
    <x:mergeCell ref="N35:P35"/>
    <x:mergeCell ref="C37:P37"/>
    <x:mergeCell ref="C38:P38"/>
    <x:mergeCell ref="C39:P39"/>
    <x:mergeCell ref="C40:P40"/>
  </x:mergeCells>
  <x:conditionalFormatting sqref="J26:K35">
    <x:cfRule type="cellIs" dxfId="3" priority="1" operator="lessThan">
      <x:formula>0</x:formula>
    </x:cfRule>
  </x:conditionalFormatting>
  <x:conditionalFormatting sqref="N26:P35">
    <x:cfRule type="dataBar" priority="2">
      <x:dataBar>
        <x:cfvo type="min"/>
        <x:cfvo type="max"/>
        <x:color rgb="FF9BD7B8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5235dcbbc1449e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69BE573-5479-287D-BE93-74B15E11EBFA}">
            <x14:dataBar gradient="0">
              <x14:cfvo type="min"/>
              <x14:cfvo type="max"/>
              <x14:fillColor rgb="FF9BD7B8"/>
            </x14:dataBar>
          </x14:cfRule>
          <xm:sqref>N26:P35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3.329999923706055" hidden="0" customWidth="1"/>
    <x:col min="3" max="3" width="9.4399995803833" hidden="0" customWidth="1"/>
    <x:col min="4" max="4" width="15" hidden="0" customWidth="1"/>
    <x:col min="5" max="5" width="10" hidden="0" customWidth="1"/>
    <x:col min="6" max="6" width="11.670000076293945" hidden="0" customWidth="1"/>
    <x:col min="7" max="7" width="11.670000076293945" hidden="0" customWidth="1"/>
    <x:col min="8" max="8" width="9.4399995803833" hidden="0" customWidth="1"/>
    <x:col min="9" max="9" width="11.670000076293945" hidden="0" customWidth="1"/>
    <x:col min="10" max="10" width="11.109999656677246" hidden="0" customWidth="1"/>
    <x:col min="11" max="11" width="12.779999732971191" hidden="0" customWidth="1"/>
    <x:col min="12" max="12" width="11.670000076293945" hidden="0" customWidth="1"/>
    <x:col min="13" max="13" width="13.890000343322754" hidden="0" customWidth="1"/>
    <x:col min="14" max="14" width="10.5600004196167" hidden="0" customWidth="1"/>
  </x:cols>
  <x:sheetData>
    <x:row r="1">
      <x:c r="A1" s="289" t="str">
        <x:v>SKU</x:v>
      </x:c>
      <x:c r="B1" s="289" t="str">
        <x:v>Product</x:v>
      </x:c>
      <x:c r="C1" s="289" t="str">
        <x:v>Location</x:v>
      </x:c>
      <x:c r="D1" s="289" t="str">
        <x:v>Supplier</x:v>
      </x:c>
      <x:c r="E1" s="289" t="str">
        <x:v>Current Qty</x:v>
      </x:c>
      <x:c r="F1" s="289" t="str">
        <x:v>Weekly Demand</x:v>
      </x:c>
      <x:c r="G1" s="289" t="str">
        <x:v>Recent Revenue</x:v>
      </x:c>
      <x:c r="H1" s="289" t="str">
        <x:v>Unit Cost</x:v>
      </x:c>
      <x:c r="I1" s="289" t="str">
        <x:v>Reorder Point</x:v>
      </x:c>
      <x:c r="J1" s="289" t="str">
        <x:v>Target Stock</x:v>
      </x:c>
      <x:c r="K1" s="289" t="str">
        <x:v>Recommended Order</x:v>
      </x:c>
      <x:c r="L1" s="289" t="str">
        <x:v>Stock Cover (wks)</x:v>
      </x:c>
      <x:c r="M1" s="289" t="str">
        <x:v>Status</x:v>
      </x:c>
      <x:c r="N1" s="289" t="str">
        <x:v>Order Value</x:v>
      </x:c>
    </x:row>
    <x:row r="2" ht="16.5" customHeight="1">
      <x:c r="A2" s="290" t="str">
        <x:v>SKU0583</x:v>
      </x:c>
      <x:c r="B2" s="291" t="str">
        <x:v>Product 0583</x:v>
      </x:c>
      <x:c r="C2" s="291" t="str">
        <x:v>Store A</x:v>
      </x:c>
      <x:c r="D2" s="291" t="str">
        <x:v>Supplier 64</x:v>
      </x:c>
      <x:c r="E2" s="292" t="n">
        <x:v>510</x:v>
      </x:c>
      <x:c r="F2" s="292" t="n">
        <x:v>119.2283</x:v>
      </x:c>
      <x:c r="G2" s="293" t="n">
        <x:v>75.696</x:v>
      </x:c>
      <x:c r="H2" s="293" t="n">
        <x:v>0.0251</x:v>
      </x:c>
      <x:c r="I2" s="293" t="n">
        <x:f>F2*'Assumptions'!$B$7*(1+'Assumptions'!$B$9)</x:f>
        <x:v>286.14792</x:v>
      </x:c>
      <x:c r="J2" s="293" t="n">
        <x:f>F2*('Assumptions'!$B$7+'Assumptions'!$B$8)*(1+'Assumptions'!$B$9)</x:f>
        <x:v>858.44376</x:v>
      </x:c>
      <x:c r="K2" s="295" t="n">
        <x:f>MAX(0,ROUNDUP(J2-E2,0))</x:f>
        <x:v>349</x:v>
      </x:c>
      <x:c r="L2" s="297" t="n">
        <x:f>IF(F2=0,"",E2/F2)</x:f>
        <x:v>4.277507940648319</x:v>
      </x:c>
      <x:c r="M2" s="291" t="str">
        <x:f>IF(F2=0,IF(E2&gt;0,"No recent demand","No demand / no stock"),IF(E2&lt;=I2,"Order now",IF(L2&lt;='Assumptions'!$B$8,"Review soon","Sufficient stock")))</x:f>
        <x:v>Sufficient stock</x:v>
      </x:c>
      <x:c r="N2" s="299" t="n">
        <x:f>K2*H2</x:f>
        <x:v>8.7599</x:v>
      </x:c>
    </x:row>
    <x:row r="3" ht="16.5" customHeight="1">
      <x:c r="A3" s="278" t="str">
        <x:v>SKU0583</x:v>
      </x:c>
      <x:c r="B3" s="279" t="str">
        <x:v>Product 0583</x:v>
      </x:c>
      <x:c r="C3" s="279" t="str">
        <x:v>Store B</x:v>
      </x:c>
      <x:c r="D3" s="279" t="str">
        <x:v>Supplier 64</x:v>
      </x:c>
      <x:c r="E3" s="280" t="n">
        <x:v>354</x:v>
      </x:c>
      <x:c r="F3" s="280" t="n">
        <x:v>102.5652</x:v>
      </x:c>
      <x:c r="G3" s="281" t="n">
        <x:v>57.519</x:v>
      </x:c>
      <x:c r="H3" s="281" t="n">
        <x:v>0.0251</x:v>
      </x:c>
      <x:c r="I3" s="281" t="n">
        <x:f>F3*'Assumptions'!$B$7*(1+'Assumptions'!$B$9)</x:f>
        <x:v>246.15648</x:v>
      </x:c>
      <x:c r="J3" s="281" t="n">
        <x:f>F3*('Assumptions'!$B$7+'Assumptions'!$B$8)*(1+'Assumptions'!$B$9)</x:f>
        <x:v>738.46944</x:v>
      </x:c>
      <x:c r="K3" s="296" t="n">
        <x:f>MAX(0,ROUNDUP(J3-E3,0))</x:f>
        <x:v>385</x:v>
      </x:c>
      <x:c r="L3" s="298" t="n">
        <x:f>IF(F3=0,"",E3/F3)</x:f>
        <x:v>3.451463069345158</x:v>
      </x:c>
      <x:c r="M3" s="279" t="str">
        <x:f>IF(F3=0,IF(E3&gt;0,"No recent demand","No demand / no stock"),IF(E3&lt;=I3,"Order now",IF(L3&lt;='Assumptions'!$B$8,"Review soon","Sufficient stock")))</x:f>
        <x:v>Review soon</x:v>
      </x:c>
      <x:c r="N3" s="300" t="n">
        <x:f>K3*H3</x:f>
        <x:v>9.6635</x:v>
      </x:c>
    </x:row>
    <x:row r="4" ht="16.5" customHeight="1">
      <x:c r="A4" s="290" t="str">
        <x:v>SKU0883</x:v>
      </x:c>
      <x:c r="B4" s="291" t="str">
        <x:v>Product 0883</x:v>
      </x:c>
      <x:c r="C4" s="291" t="str">
        <x:v>Store B</x:v>
      </x:c>
      <x:c r="D4" s="291" t="str">
        <x:v>Multiple suppliers</x:v>
      </x:c>
      <x:c r="E4" s="292" t="n">
        <x:v>168</x:v>
      </x:c>
      <x:c r="F4" s="292" t="n">
        <x:v>70.837</x:v>
      </x:c>
      <x:c r="G4" s="293" t="n">
        <x:v>141.6395</x:v>
      </x:c>
      <x:c r="H4" s="293" t="n">
        <x:v>0.0706</x:v>
      </x:c>
      <x:c r="I4" s="293" t="n">
        <x:f>F4*'Assumptions'!$B$7*(1+'Assumptions'!$B$9)</x:f>
        <x:v>170.0088</x:v>
      </x:c>
      <x:c r="J4" s="293" t="n">
        <x:f>F4*('Assumptions'!$B$7+'Assumptions'!$B$8)*(1+'Assumptions'!$B$9)</x:f>
        <x:v>510.0264</x:v>
      </x:c>
      <x:c r="K4" s="295" t="n">
        <x:f>MAX(0,ROUNDUP(J4-E4,0))</x:f>
        <x:v>343</x:v>
      </x:c>
      <x:c r="L4" s="297" t="n">
        <x:f>IF(F4=0,"",E4/F4)</x:f>
        <x:v>2.3716419385349465</x:v>
      </x:c>
      <x:c r="M4" s="291" t="str">
        <x:f>IF(F4=0,IF(E4&gt;0,"No recent demand","No demand / no stock"),IF(E4&lt;=I4,"Order now",IF(L4&lt;='Assumptions'!$B$8,"Review soon","Sufficient stock")))</x:f>
        <x:v>Order now</x:v>
      </x:c>
      <x:c r="N4" s="299" t="n">
        <x:f>K4*H4</x:f>
        <x:v>24.215799999999998</x:v>
      </x:c>
    </x:row>
    <x:row r="5" ht="16.5" customHeight="1">
      <x:c r="A5" s="278" t="str">
        <x:v>SKU0583</x:v>
      </x:c>
      <x:c r="B5" s="279" t="str">
        <x:v>Product 0583</x:v>
      </x:c>
      <x:c r="C5" s="279" t="str">
        <x:v>Store C</x:v>
      </x:c>
      <x:c r="D5" s="279" t="str">
        <x:v>Supplier 64</x:v>
      </x:c>
      <x:c r="E5" s="280" t="n">
        <x:v>1187</x:v>
      </x:c>
      <x:c r="F5" s="280" t="n">
        <x:v>56</x:v>
      </x:c>
      <x:c r="G5" s="281" t="n">
        <x:v>39.342</x:v>
      </x:c>
      <x:c r="H5" s="281" t="n">
        <x:v>0.0251</x:v>
      </x:c>
      <x:c r="I5" s="281" t="n">
        <x:f>F5*'Assumptions'!$B$7*(1+'Assumptions'!$B$9)</x:f>
        <x:v>134.4</x:v>
      </x:c>
      <x:c r="J5" s="281" t="n">
        <x:f>F5*('Assumptions'!$B$7+'Assumptions'!$B$8)*(1+'Assumptions'!$B$9)</x:f>
        <x:v>403.2</x:v>
      </x:c>
      <x:c r="K5" s="296" t="n">
        <x:f>MAX(0,ROUNDUP(J5-E5,0))</x:f>
        <x:v>0</x:v>
      </x:c>
      <x:c r="L5" s="298" t="n">
        <x:f>IF(F5=0,"",E5/F5)</x:f>
        <x:v>21.196428571428573</x:v>
      </x:c>
      <x:c r="M5" s="279" t="str">
        <x:f>IF(F5=0,IF(E5&gt;0,"No recent demand","No demand / no stock"),IF(E5&lt;=I5,"Order now",IF(L5&lt;='Assumptions'!$B$8,"Review soon","Sufficient stock")))</x:f>
        <x:v>Sufficient stock</x:v>
      </x:c>
      <x:c r="N5" s="300" t="n">
        <x:f>K5*H5</x:f>
        <x:v>0</x:v>
      </x:c>
    </x:row>
    <x:row r="6" ht="16.5" customHeight="1">
      <x:c r="A6" s="290" t="str">
        <x:v>SKU0189</x:v>
      </x:c>
      <x:c r="B6" s="291" t="str">
        <x:v>Product 0189</x:v>
      </x:c>
      <x:c r="C6" s="291" t="str">
        <x:v>Store A</x:v>
      </x:c>
      <x:c r="D6" s="291" t="str">
        <x:v>Supplier 68</x:v>
      </x:c>
      <x:c r="E6" s="292" t="n">
        <x:v>120</x:v>
      </x:c>
      <x:c r="F6" s="292" t="n">
        <x:v>52.5761</x:v>
      </x:c>
      <x:c r="G6" s="293" t="n">
        <x:v>34.943</x:v>
      </x:c>
      <x:c r="H6" s="293" t="n">
        <x:v>0.0264</x:v>
      </x:c>
      <x:c r="I6" s="293" t="n">
        <x:f>F6*'Assumptions'!$B$7*(1+'Assumptions'!$B$9)</x:f>
        <x:v>126.18263999999999</x:v>
      </x:c>
      <x:c r="J6" s="293" t="n">
        <x:f>F6*('Assumptions'!$B$7+'Assumptions'!$B$8)*(1+'Assumptions'!$B$9)</x:f>
        <x:v>378.54792</x:v>
      </x:c>
      <x:c r="K6" s="295" t="n">
        <x:f>MAX(0,ROUNDUP(J6-E6,0))</x:f>
        <x:v>259</x:v>
      </x:c>
      <x:c r="L6" s="297" t="n">
        <x:f>IF(F6=0,"",E6/F6)</x:f>
        <x:v>2.2824058840423693</x:v>
      </x:c>
      <x:c r="M6" s="291" t="str">
        <x:f>IF(F6=0,IF(E6&gt;0,"No recent demand","No demand / no stock"),IF(E6&lt;=I6,"Order now",IF(L6&lt;='Assumptions'!$B$8,"Review soon","Sufficient stock")))</x:f>
        <x:v>Order now</x:v>
      </x:c>
      <x:c r="N6" s="299" t="n">
        <x:f>K6*H6</x:f>
        <x:v>6.8376</x:v>
      </x:c>
    </x:row>
    <x:row r="7" ht="16.5" customHeight="1">
      <x:c r="A7" s="278" t="str">
        <x:v>SKU0867</x:v>
      </x:c>
      <x:c r="B7" s="279" t="str">
        <x:v>Product 0867</x:v>
      </x:c>
      <x:c r="C7" s="279" t="str">
        <x:v>Store A</x:v>
      </x:c>
      <x:c r="D7" s="279" t="str">
        <x:v>Supplier 69</x:v>
      </x:c>
      <x:c r="E7" s="280" t="n">
        <x:v>-45</x:v>
      </x:c>
      <x:c r="F7" s="280" t="n">
        <x:v>45.1957</x:v>
      </x:c>
      <x:c r="G7" s="281" t="n">
        <x:v>24.651</x:v>
      </x:c>
      <x:c r="H7" s="281" t="n">
        <x:v>0.0171</x:v>
      </x:c>
      <x:c r="I7" s="281" t="n">
        <x:f>F7*'Assumptions'!$B$7*(1+'Assumptions'!$B$9)</x:f>
        <x:v>108.46968</x:v>
      </x:c>
      <x:c r="J7" s="281" t="n">
        <x:f>F7*('Assumptions'!$B$7+'Assumptions'!$B$8)*(1+'Assumptions'!$B$9)</x:f>
        <x:v>325.40904000000006</x:v>
      </x:c>
      <x:c r="K7" s="296" t="n">
        <x:f>MAX(0,ROUNDUP(J7-E7,0))</x:f>
        <x:v>371</x:v>
      </x:c>
      <x:c r="L7" s="298" t="n">
        <x:f>IF(F7=0,"",E7/F7)</x:f>
        <x:v>-0.9956699420520093</x:v>
      </x:c>
      <x:c r="M7" s="279" t="str">
        <x:f>IF(F7=0,IF(E7&gt;0,"No recent demand","No demand / no stock"),IF(E7&lt;=I7,"Order now",IF(L7&lt;='Assumptions'!$B$8,"Review soon","Sufficient stock")))</x:f>
        <x:v>Order now</x:v>
      </x:c>
      <x:c r="N7" s="300" t="n">
        <x:f>K7*H7</x:f>
        <x:v>6.3441</x:v>
      </x:c>
    </x:row>
    <x:row r="8" ht="16.5" customHeight="1">
      <x:c r="A8" s="290" t="str">
        <x:v>SKU0867</x:v>
      </x:c>
      <x:c r="B8" s="291" t="str">
        <x:v>Product 0867</x:v>
      </x:c>
      <x:c r="C8" s="291" t="str">
        <x:v>Store B</x:v>
      </x:c>
      <x:c r="D8" s="291" t="str">
        <x:v>Supplier 69</x:v>
      </x:c>
      <x:c r="E8" s="292" t="n">
        <x:v>115</x:v>
      </x:c>
      <x:c r="F8" s="292" t="n">
        <x:v>43.9783</x:v>
      </x:c>
      <x:c r="G8" s="293" t="n">
        <x:v>23.987</x:v>
      </x:c>
      <x:c r="H8" s="293" t="n">
        <x:v>0.0171</x:v>
      </x:c>
      <x:c r="I8" s="293" t="n">
        <x:f>F8*'Assumptions'!$B$7*(1+'Assumptions'!$B$9)</x:f>
        <x:v>105.54791999999999</x:v>
      </x:c>
      <x:c r="J8" s="293" t="n">
        <x:f>F8*('Assumptions'!$B$7+'Assumptions'!$B$8)*(1+'Assumptions'!$B$9)</x:f>
        <x:v>316.64376</x:v>
      </x:c>
      <x:c r="K8" s="295" t="n">
        <x:f>MAX(0,ROUNDUP(J8-E8,0))</x:f>
        <x:v>202</x:v>
      </x:c>
      <x:c r="L8" s="297" t="n">
        <x:f>IF(F8=0,"",E8/F8)</x:f>
        <x:v>2.614925997594268</x:v>
      </x:c>
      <x:c r="M8" s="291" t="str">
        <x:f>IF(F8=0,IF(E8&gt;0,"No recent demand","No demand / no stock"),IF(E8&lt;=I8,"Order now",IF(L8&lt;='Assumptions'!$B$8,"Review soon","Sufficient stock")))</x:f>
        <x:v>Review soon</x:v>
      </x:c>
      <x:c r="N8" s="299" t="n">
        <x:f>K8*H8</x:f>
        <x:v>3.4542</x:v>
      </x:c>
    </x:row>
    <x:row r="9" ht="16.5" customHeight="1">
      <x:c r="A9" s="278" t="str">
        <x:v>SKU0867</x:v>
      </x:c>
      <x:c r="B9" s="279" t="str">
        <x:v>Product 0867</x:v>
      </x:c>
      <x:c r="C9" s="279" t="str">
        <x:v>Store C</x:v>
      </x:c>
      <x:c r="D9" s="279" t="str">
        <x:v>Supplier 69</x:v>
      </x:c>
      <x:c r="E9" s="280" t="n">
        <x:v>197</x:v>
      </x:c>
      <x:c r="F9" s="280" t="n">
        <x:v>28.913</x:v>
      </x:c>
      <x:c r="G9" s="281" t="n">
        <x:v>15.77</x:v>
      </x:c>
      <x:c r="H9" s="281" t="n">
        <x:v>0.0181</x:v>
      </x:c>
      <x:c r="I9" s="281" t="n">
        <x:f>F9*'Assumptions'!$B$7*(1+'Assumptions'!$B$9)</x:f>
        <x:v>69.3912</x:v>
      </x:c>
      <x:c r="J9" s="281" t="n">
        <x:f>F9*('Assumptions'!$B$7+'Assumptions'!$B$8)*(1+'Assumptions'!$B$9)</x:f>
        <x:v>208.1736</x:v>
      </x:c>
      <x:c r="K9" s="296" t="n">
        <x:f>MAX(0,ROUNDUP(J9-E9,0))</x:f>
        <x:v>12</x:v>
      </x:c>
      <x:c r="L9" s="298" t="n">
        <x:f>IF(F9=0,"",E9/F9)</x:f>
        <x:v>6.813544080517414</x:v>
      </x:c>
      <x:c r="M9" s="279" t="str">
        <x:f>IF(F9=0,IF(E9&gt;0,"No recent demand","No demand / no stock"),IF(E9&lt;=I9,"Order now",IF(L9&lt;='Assumptions'!$B$8,"Review soon","Sufficient stock")))</x:f>
        <x:v>Sufficient stock</x:v>
      </x:c>
      <x:c r="N9" s="300" t="n">
        <x:f>K9*H9</x:f>
        <x:v>0.2172</x:v>
      </x:c>
    </x:row>
    <x:row r="10" ht="16.5" customHeight="1">
      <x:c r="A10" s="290" t="str">
        <x:v>SKU1629</x:v>
      </x:c>
      <x:c r="B10" s="291" t="str">
        <x:v>Product 1629</x:v>
      </x:c>
      <x:c r="C10" s="291" t="str">
        <x:v>Store C</x:v>
      </x:c>
      <x:c r="D10" s="291" t="str">
        <x:v>Supplier 07</x:v>
      </x:c>
      <x:c r="E10" s="292" t="n">
        <x:v>112</x:v>
      </x:c>
      <x:c r="F10" s="292" t="n">
        <x:v>28.2283</x:v>
      </x:c>
      <x:c r="G10" s="293" t="n">
        <x:v>30.793</x:v>
      </x:c>
      <x:c r="H10" s="293" t="n">
        <x:v>0.083</x:v>
      </x:c>
      <x:c r="I10" s="293" t="n">
        <x:f>F10*'Assumptions'!$B$7*(1+'Assumptions'!$B$9)</x:f>
        <x:v>67.74792</x:v>
      </x:c>
      <x:c r="J10" s="293" t="n">
        <x:f>F10*('Assumptions'!$B$7+'Assumptions'!$B$8)*(1+'Assumptions'!$B$9)</x:f>
        <x:v>203.24375999999998</x:v>
      </x:c>
      <x:c r="K10" s="295" t="n">
        <x:f>MAX(0,ROUNDUP(J10-E10,0))</x:f>
        <x:v>92</x:v>
      </x:c>
      <x:c r="L10" s="297" t="n">
        <x:f>IF(F10=0,"",E10/F10)</x:f>
        <x:v>3.96764948650822</x:v>
      </x:c>
      <x:c r="M10" s="291" t="str">
        <x:f>IF(F10=0,IF(E10&gt;0,"No recent demand","No demand / no stock"),IF(E10&lt;=I10,"Order now",IF(L10&lt;='Assumptions'!$B$8,"Review soon","Sufficient stock")))</x:f>
        <x:v>Review soon</x:v>
      </x:c>
      <x:c r="N10" s="299" t="n">
        <x:f>K10*H10</x:f>
        <x:v>7.636</x:v>
      </x:c>
    </x:row>
    <x:row r="11" ht="16.5" customHeight="1">
      <x:c r="A11" s="278" t="str">
        <x:v>SKU0861</x:v>
      </x:c>
      <x:c r="B11" s="279" t="str">
        <x:v>Product 0861</x:v>
      </x:c>
      <x:c r="C11" s="279" t="str">
        <x:v>Store C</x:v>
      </x:c>
      <x:c r="D11" s="279" t="str">
        <x:v>Supplier 69</x:v>
      </x:c>
      <x:c r="E11" s="280" t="n">
        <x:v>0</x:v>
      </x:c>
      <x:c r="F11" s="280" t="n">
        <x:v>27.0109</x:v>
      </x:c>
      <x:c r="G11" s="281" t="n">
        <x:v>174.9972</x:v>
      </x:c>
      <x:c r="H11" s="281" t="n">
        <x:v>0.2847</x:v>
      </x:c>
      <x:c r="I11" s="281" t="n">
        <x:f>F11*'Assumptions'!$B$7*(1+'Assumptions'!$B$9)</x:f>
        <x:v>64.82616</x:v>
      </x:c>
      <x:c r="J11" s="281" t="n">
        <x:f>F11*('Assumptions'!$B$7+'Assumptions'!$B$8)*(1+'Assumptions'!$B$9)</x:f>
        <x:v>194.47848000000002</x:v>
      </x:c>
      <x:c r="K11" s="296" t="n">
        <x:f>MAX(0,ROUNDUP(J11-E11,0))</x:f>
        <x:v>195</x:v>
      </x:c>
      <x:c r="L11" s="298" t="n">
        <x:f>IF(F11=0,"",E11/F11)</x:f>
        <x:v>0</x:v>
      </x:c>
      <x:c r="M11" s="279" t="str">
        <x:f>IF(F11=0,IF(E11&gt;0,"No recent demand","No demand / no stock"),IF(E11&lt;=I11,"Order now",IF(L11&lt;='Assumptions'!$B$8,"Review soon","Sufficient stock")))</x:f>
        <x:v>Order now</x:v>
      </x:c>
      <x:c r="N11" s="300" t="n">
        <x:f>K11*H11</x:f>
        <x:v>55.5165</x:v>
      </x:c>
    </x:row>
    <x:row r="12" ht="16.5" customHeight="1">
      <x:c r="A12" s="290" t="str">
        <x:v>SKU0841</x:v>
      </x:c>
      <x:c r="B12" s="291" t="str">
        <x:v>Product 0841</x:v>
      </x:c>
      <x:c r="C12" s="291" t="str">
        <x:v>Store C</x:v>
      </x:c>
      <x:c r="D12" s="291" t="str">
        <x:v>Supplier 25</x:v>
      </x:c>
      <x:c r="E12" s="292" t="n">
        <x:v>80</x:v>
      </x:c>
      <x:c r="F12" s="292" t="n">
        <x:v>26.0217</x:v>
      </x:c>
      <x:c r="G12" s="293" t="n">
        <x:v>98.2056</x:v>
      </x:c>
      <x:c r="H12" s="293" t="n">
        <x:v>0.1826</x:v>
      </x:c>
      <x:c r="I12" s="293" t="n">
        <x:f>F12*'Assumptions'!$B$7*(1+'Assumptions'!$B$9)</x:f>
        <x:v>62.452079999999995</x:v>
      </x:c>
      <x:c r="J12" s="293" t="n">
        <x:f>F12*('Assumptions'!$B$7+'Assumptions'!$B$8)*(1+'Assumptions'!$B$9)</x:f>
        <x:v>187.35623999999999</x:v>
      </x:c>
      <x:c r="K12" s="295" t="n">
        <x:f>MAX(0,ROUNDUP(J12-E12,0))</x:f>
        <x:v>108</x:v>
      </x:c>
      <x:c r="L12" s="297" t="n">
        <x:f>IF(F12=0,"",E12/F12)</x:f>
        <x:v>3.074357171130249</x:v>
      </x:c>
      <x:c r="M12" s="291" t="str">
        <x:f>IF(F12=0,IF(E12&gt;0,"No recent demand","No demand / no stock"),IF(E12&lt;=I12,"Order now",IF(L12&lt;='Assumptions'!$B$8,"Review soon","Sufficient stock")))</x:f>
        <x:v>Review soon</x:v>
      </x:c>
      <x:c r="N12" s="299" t="n">
        <x:f>K12*H12</x:f>
        <x:v>19.7208</x:v>
      </x:c>
    </x:row>
    <x:row r="13" ht="16.5" customHeight="1">
      <x:c r="A13" s="278" t="str">
        <x:v>SKU1629</x:v>
      </x:c>
      <x:c r="B13" s="279" t="str">
        <x:v>Product 1629</x:v>
      </x:c>
      <x:c r="C13" s="279" t="str">
        <x:v>Store A</x:v>
      </x:c>
      <x:c r="D13" s="279" t="str">
        <x:v>Supplier 07</x:v>
      </x:c>
      <x:c r="E13" s="280" t="n">
        <x:v>61</x:v>
      </x:c>
      <x:c r="F13" s="280" t="n">
        <x:v>24.6522</x:v>
      </x:c>
      <x:c r="G13" s="281" t="n">
        <x:v>26.892</x:v>
      </x:c>
      <x:c r="H13" s="281" t="n">
        <x:v>0.083</x:v>
      </x:c>
      <x:c r="I13" s="281" t="n">
        <x:f>F13*'Assumptions'!$B$7*(1+'Assumptions'!$B$9)</x:f>
        <x:v>59.165279999999996</x:v>
      </x:c>
      <x:c r="J13" s="281" t="n">
        <x:f>F13*('Assumptions'!$B$7+'Assumptions'!$B$8)*(1+'Assumptions'!$B$9)</x:f>
        <x:v>177.49584000000002</x:v>
      </x:c>
      <x:c r="K13" s="296" t="n">
        <x:f>MAX(0,ROUNDUP(J13-E13,0))</x:f>
        <x:v>117</x:v>
      </x:c>
      <x:c r="L13" s="298" t="n">
        <x:f>IF(F13=0,"",E13/F13)</x:f>
        <x:v>2.4744241893218453</x:v>
      </x:c>
      <x:c r="M13" s="279" t="str">
        <x:f>IF(F13=0,IF(E13&gt;0,"No recent demand","No demand / no stock"),IF(E13&lt;=I13,"Order now",IF(L13&lt;='Assumptions'!$B$8,"Review soon","Sufficient stock")))</x:f>
        <x:v>Review soon</x:v>
      </x:c>
      <x:c r="N13" s="300" t="n">
        <x:f>K13*H13</x:f>
        <x:v>9.711</x:v>
      </x:c>
    </x:row>
    <x:row r="14" ht="16.5" customHeight="1">
      <x:c r="A14" s="290" t="str">
        <x:v>SKU0569</x:v>
      </x:c>
      <x:c r="B14" s="291" t="str">
        <x:v>Product 0569</x:v>
      </x:c>
      <x:c r="C14" s="291" t="str">
        <x:v>Store B</x:v>
      </x:c>
      <x:c r="D14" s="291" t="str">
        <x:v>Supplier 05</x:v>
      </x:c>
      <x:c r="E14" s="292" t="n">
        <x:v>0</x:v>
      </x:c>
      <x:c r="F14" s="292" t="n">
        <x:v>23.2826</x:v>
      </x:c>
      <x:c r="G14" s="293" t="n">
        <x:v>58.93</x:v>
      </x:c>
      <x:c r="H14" s="293" t="n">
        <x:v>0.0084</x:v>
      </x:c>
      <x:c r="I14" s="293" t="n">
        <x:f>F14*'Assumptions'!$B$7*(1+'Assumptions'!$B$9)</x:f>
        <x:v>55.87824</x:v>
      </x:c>
      <x:c r="J14" s="293" t="n">
        <x:f>F14*('Assumptions'!$B$7+'Assumptions'!$B$8)*(1+'Assumptions'!$B$9)</x:f>
        <x:v>167.63472</x:v>
      </x:c>
      <x:c r="K14" s="295" t="n">
        <x:f>MAX(0,ROUNDUP(J14-E14,0))</x:f>
        <x:v>168</x:v>
      </x:c>
      <x:c r="L14" s="297" t="n">
        <x:f>IF(F14=0,"",E14/F14)</x:f>
        <x:v>0</x:v>
      </x:c>
      <x:c r="M14" s="291" t="str">
        <x:f>IF(F14=0,IF(E14&gt;0,"No recent demand","No demand / no stock"),IF(E14&lt;=I14,"Order now",IF(L14&lt;='Assumptions'!$B$8,"Review soon","Sufficient stock")))</x:f>
        <x:v>Order now</x:v>
      </x:c>
      <x:c r="N14" s="299" t="n">
        <x:f>K14*H14</x:f>
        <x:v>1.4112</x:v>
      </x:c>
    </x:row>
    <x:row r="15" ht="16.5" customHeight="1">
      <x:c r="A15" s="278" t="str">
        <x:v>SKU0883</x:v>
      </x:c>
      <x:c r="B15" s="279" t="str">
        <x:v>Product 0883</x:v>
      </x:c>
      <x:c r="C15" s="279" t="str">
        <x:v>Store C</x:v>
      </x:c>
      <x:c r="D15" s="279" t="str">
        <x:v>Multiple suppliers</x:v>
      </x:c>
      <x:c r="E15" s="280" t="n">
        <x:v>100</x:v>
      </x:c>
      <x:c r="F15" s="280" t="n">
        <x:v>22.4457</x:v>
      </x:c>
      <x:c r="G15" s="281" t="n">
        <x:v>48.057</x:v>
      </x:c>
      <x:c r="H15" s="281" t="n">
        <x:v>0.0706</x:v>
      </x:c>
      <x:c r="I15" s="281" t="n">
        <x:f>F15*'Assumptions'!$B$7*(1+'Assumptions'!$B$9)</x:f>
        <x:v>53.869679999999995</x:v>
      </x:c>
      <x:c r="J15" s="281" t="n">
        <x:f>F15*('Assumptions'!$B$7+'Assumptions'!$B$8)*(1+'Assumptions'!$B$9)</x:f>
        <x:v>161.60903999999996</x:v>
      </x:c>
      <x:c r="K15" s="296" t="n">
        <x:f>MAX(0,ROUNDUP(J15-E15,0))</x:f>
        <x:v>62</x:v>
      </x:c>
      <x:c r="L15" s="298" t="n">
        <x:f>IF(F15=0,"",E15/F15)</x:f>
        <x:v>4.455196318225763</x:v>
      </x:c>
      <x:c r="M15" s="279" t="str">
        <x:f>IF(F15=0,IF(E15&gt;0,"No recent demand","No demand / no stock"),IF(E15&lt;=I15,"Order now",IF(L15&lt;='Assumptions'!$B$8,"Review soon","Sufficient stock")))</x:f>
        <x:v>Sufficient stock</x:v>
      </x:c>
      <x:c r="N15" s="300" t="n">
        <x:f>K15*H15</x:f>
        <x:v>4.3772</x:v>
      </x:c>
    </x:row>
    <x:row r="16" ht="16.5" customHeight="1">
      <x:c r="A16" s="290" t="str">
        <x:v>SKU0569</x:v>
      </x:c>
      <x:c r="B16" s="291" t="str">
        <x:v>Product 0569</x:v>
      </x:c>
      <x:c r="C16" s="291" t="str">
        <x:v>Store A</x:v>
      </x:c>
      <x:c r="D16" s="291" t="str">
        <x:v>Supplier 05</x:v>
      </x:c>
      <x:c r="E16" s="292" t="n">
        <x:v>0</x:v>
      </x:c>
      <x:c r="F16" s="292" t="n">
        <x:v>22.2935</x:v>
      </x:c>
      <x:c r="G16" s="293" t="n">
        <x:v>66.898</x:v>
      </x:c>
      <x:c r="H16" s="293" t="n">
        <x:v>0.0084</x:v>
      </x:c>
      <x:c r="I16" s="293" t="n">
        <x:f>F16*'Assumptions'!$B$7*(1+'Assumptions'!$B$9)</x:f>
        <x:v>53.504400000000004</x:v>
      </x:c>
      <x:c r="J16" s="293" t="n">
        <x:f>F16*('Assumptions'!$B$7+'Assumptions'!$B$8)*(1+'Assumptions'!$B$9)</x:f>
        <x:v>160.5132</x:v>
      </x:c>
      <x:c r="K16" s="295" t="n">
        <x:f>MAX(0,ROUNDUP(J16-E16,0))</x:f>
        <x:v>161</x:v>
      </x:c>
      <x:c r="L16" s="297" t="n">
        <x:f>IF(F16=0,"",E16/F16)</x:f>
        <x:v>0</x:v>
      </x:c>
      <x:c r="M16" s="291" t="str">
        <x:f>IF(F16=0,IF(E16&gt;0,"No recent demand","No demand / no stock"),IF(E16&lt;=I16,"Order now",IF(L16&lt;='Assumptions'!$B$8,"Review soon","Sufficient stock")))</x:f>
        <x:v>Order now</x:v>
      </x:c>
      <x:c r="N16" s="299" t="n">
        <x:f>K16*H16</x:f>
        <x:v>1.3523999999999998</x:v>
      </x:c>
    </x:row>
    <x:row r="17" ht="16.5" customHeight="1">
      <x:c r="A17" s="278" t="str">
        <x:v>SKU0841</x:v>
      </x:c>
      <x:c r="B17" s="279" t="str">
        <x:v>Product 0841</x:v>
      </x:c>
      <x:c r="C17" s="279" t="str">
        <x:v>Store A</x:v>
      </x:c>
      <x:c r="D17" s="279" t="str">
        <x:v>Supplier 25</x:v>
      </x:c>
      <x:c r="E17" s="280" t="n">
        <x:v>263</x:v>
      </x:c>
      <x:c r="F17" s="280" t="n">
        <x:v>21.7609</x:v>
      </x:c>
      <x:c r="G17" s="281" t="n">
        <x:v>80.8088</x:v>
      </x:c>
      <x:c r="H17" s="281" t="n">
        <x:v>0.1826</x:v>
      </x:c>
      <x:c r="I17" s="281" t="n">
        <x:f>F17*'Assumptions'!$B$7*(1+'Assumptions'!$B$9)</x:f>
        <x:v>52.22616</x:v>
      </x:c>
      <x:c r="J17" s="281" t="n">
        <x:f>F17*('Assumptions'!$B$7+'Assumptions'!$B$8)*(1+'Assumptions'!$B$9)</x:f>
        <x:v>156.67848</x:v>
      </x:c>
      <x:c r="K17" s="296" t="n">
        <x:f>MAX(0,ROUNDUP(J17-E17,0))</x:f>
        <x:v>0</x:v>
      </x:c>
      <x:c r="L17" s="298" t="n">
        <x:f>IF(F17=0,"",E17/F17)</x:f>
        <x:v>12.085897182561384</x:v>
      </x:c>
      <x:c r="M17" s="279" t="str">
        <x:f>IF(F17=0,IF(E17&gt;0,"No recent demand","No demand / no stock"),IF(E17&lt;=I17,"Order now",IF(L17&lt;='Assumptions'!$B$8,"Review soon","Sufficient stock")))</x:f>
        <x:v>Sufficient stock</x:v>
      </x:c>
      <x:c r="N17" s="300" t="n">
        <x:f>K17*H17</x:f>
        <x:v>0</x:v>
      </x:c>
    </x:row>
    <x:row r="18" ht="16.5" customHeight="1">
      <x:c r="A18" s="290" t="str">
        <x:v>SKU1485</x:v>
      </x:c>
      <x:c r="B18" s="291" t="str">
        <x:v>Product 1485</x:v>
      </x:c>
      <x:c r="C18" s="291" t="str">
        <x:v>Store C</x:v>
      </x:c>
      <x:c r="D18" s="291" t="str">
        <x:v>Multiple suppliers</x:v>
      </x:c>
      <x:c r="E18" s="292" t="n">
        <x:v>0</x:v>
      </x:c>
      <x:c r="F18" s="292" t="n">
        <x:v>21.5326</x:v>
      </x:c>
      <x:c r="G18" s="293" t="n">
        <x:v>72.625</x:v>
      </x:c>
      <x:c r="H18" s="293" t="n">
        <x:v>0</x:v>
      </x:c>
      <x:c r="I18" s="293" t="n">
        <x:f>F18*'Assumptions'!$B$7*(1+'Assumptions'!$B$9)</x:f>
        <x:v>51.678239999999995</x:v>
      </x:c>
      <x:c r="J18" s="293" t="n">
        <x:f>F18*('Assumptions'!$B$7+'Assumptions'!$B$8)*(1+'Assumptions'!$B$9)</x:f>
        <x:v>155.03471999999996</x:v>
      </x:c>
      <x:c r="K18" s="295" t="n">
        <x:f>MAX(0,ROUNDUP(J18-E18,0))</x:f>
        <x:v>156</x:v>
      </x:c>
      <x:c r="L18" s="297" t="n">
        <x:f>IF(F18=0,"",E18/F18)</x:f>
        <x:v>0</x:v>
      </x:c>
      <x:c r="M18" s="291" t="str">
        <x:f>IF(F18=0,IF(E18&gt;0,"No recent demand","No demand / no stock"),IF(E18&lt;=I18,"Order now",IF(L18&lt;='Assumptions'!$B$8,"Review soon","Sufficient stock")))</x:f>
        <x:v>Order now</x:v>
      </x:c>
      <x:c r="N18" s="299" t="n">
        <x:f>K18*H18</x:f>
        <x:v>0</x:v>
      </x:c>
    </x:row>
    <x:row r="19" ht="16.5" customHeight="1">
      <x:c r="A19" s="278" t="str">
        <x:v>SKU1629</x:v>
      </x:c>
      <x:c r="B19" s="279" t="str">
        <x:v>Product 1629</x:v>
      </x:c>
      <x:c r="C19" s="279" t="str">
        <x:v>Store B</x:v>
      </x:c>
      <x:c r="D19" s="279" t="str">
        <x:v>Supplier 07</x:v>
      </x:c>
      <x:c r="E19" s="280" t="n">
        <x:v>75</x:v>
      </x:c>
      <x:c r="F19" s="280" t="n">
        <x:v>19.7065</x:v>
      </x:c>
      <x:c r="G19" s="281" t="n">
        <x:v>21.4638</x:v>
      </x:c>
      <x:c r="H19" s="281" t="n">
        <x:v>0.083</x:v>
      </x:c>
      <x:c r="I19" s="281" t="n">
        <x:f>F19*'Assumptions'!$B$7*(1+'Assumptions'!$B$9)</x:f>
        <x:v>47.29559999999999</x:v>
      </x:c>
      <x:c r="J19" s="281" t="n">
        <x:f>F19*('Assumptions'!$B$7+'Assumptions'!$B$8)*(1+'Assumptions'!$B$9)</x:f>
        <x:v>141.8868</x:v>
      </x:c>
      <x:c r="K19" s="296" t="n">
        <x:f>MAX(0,ROUNDUP(J19-E19,0))</x:f>
        <x:v>67</x:v>
      </x:c>
      <x:c r="L19" s="298" t="n">
        <x:f>IF(F19=0,"",E19/F19)</x:f>
        <x:v>3.805850861390912</x:v>
      </x:c>
      <x:c r="M19" s="279" t="str">
        <x:f>IF(F19=0,IF(E19&gt;0,"No recent demand","No demand / no stock"),IF(E19&lt;=I19,"Order now",IF(L19&lt;='Assumptions'!$B$8,"Review soon","Sufficient stock")))</x:f>
        <x:v>Review soon</x:v>
      </x:c>
      <x:c r="N19" s="300" t="n">
        <x:f>K19*H19</x:f>
        <x:v>5.561</x:v>
      </x:c>
    </x:row>
    <x:row r="20" ht="16.5" customHeight="1">
      <x:c r="A20" s="290" t="str">
        <x:v>SKU0228</x:v>
      </x:c>
      <x:c r="B20" s="291" t="str">
        <x:v>Product 0228</x:v>
      </x:c>
      <x:c r="C20" s="291" t="str">
        <x:v>Store C</x:v>
      </x:c>
      <x:c r="D20" s="291" t="str">
        <x:v>Multiple suppliers</x:v>
      </x:c>
      <x:c r="E20" s="292" t="n">
        <x:v>96</x:v>
      </x:c>
      <x:c r="F20" s="292" t="n">
        <x:v>17.8804</x:v>
      </x:c>
      <x:c r="G20" s="293" t="n">
        <x:v>42.5541</x:v>
      </x:c>
      <x:c r="H20" s="293" t="n">
        <x:v>0.0602</x:v>
      </x:c>
      <x:c r="I20" s="293" t="n">
        <x:f>F20*'Assumptions'!$B$7*(1+'Assumptions'!$B$9)</x:f>
        <x:v>42.912960000000005</x:v>
      </x:c>
      <x:c r="J20" s="293" t="n">
        <x:f>F20*('Assumptions'!$B$7+'Assumptions'!$B$8)*(1+'Assumptions'!$B$9)</x:f>
        <x:v>128.73888</x:v>
      </x:c>
      <x:c r="K20" s="295" t="n">
        <x:f>MAX(0,ROUNDUP(J20-E20,0))</x:f>
        <x:v>33</x:v>
      </x:c>
      <x:c r="L20" s="297" t="n">
        <x:f>IF(F20=0,"",E20/F20)</x:f>
        <x:v>5.369007404756045</x:v>
      </x:c>
      <x:c r="M20" s="291" t="str">
        <x:f>IF(F20=0,IF(E20&gt;0,"No recent demand","No demand / no stock"),IF(E20&lt;=I20,"Order now",IF(L20&lt;='Assumptions'!$B$8,"Review soon","Sufficient stock")))</x:f>
        <x:v>Sufficient stock</x:v>
      </x:c>
      <x:c r="N20" s="299" t="n">
        <x:f>K20*H20</x:f>
        <x:v>1.9866</x:v>
      </x:c>
    </x:row>
    <x:row r="21" ht="16.5" customHeight="1">
      <x:c r="A21" s="278" t="str">
        <x:v>SKU0441</x:v>
      </x:c>
      <x:c r="B21" s="279" t="str">
        <x:v>Product 0441</x:v>
      </x:c>
      <x:c r="C21" s="279" t="str">
        <x:v>Store B</x:v>
      </x:c>
      <x:c r="D21" s="279" t="str">
        <x:v>Supplier 68</x:v>
      </x:c>
      <x:c r="E21" s="280" t="n">
        <x:v>0</x:v>
      </x:c>
      <x:c r="F21" s="280" t="n">
        <x:v>17.1196</x:v>
      </x:c>
      <x:c r="G21" s="281" t="n">
        <x:v>18.675</x:v>
      </x:c>
      <x:c r="H21" s="281" t="n">
        <x:v>0.0243</x:v>
      </x:c>
      <x:c r="I21" s="281" t="n">
        <x:f>F21*'Assumptions'!$B$7*(1+'Assumptions'!$B$9)</x:f>
        <x:v>41.087039999999995</x:v>
      </x:c>
      <x:c r="J21" s="281" t="n">
        <x:f>F21*('Assumptions'!$B$7+'Assumptions'!$B$8)*(1+'Assumptions'!$B$9)</x:f>
        <x:v>123.26111999999998</x:v>
      </x:c>
      <x:c r="K21" s="296" t="n">
        <x:f>MAX(0,ROUNDUP(J21-E21,0))</x:f>
        <x:v>124</x:v>
      </x:c>
      <x:c r="L21" s="298" t="n">
        <x:f>IF(F21=0,"",E21/F21)</x:f>
        <x:v>0</x:v>
      </x:c>
      <x:c r="M21" s="279" t="str">
        <x:f>IF(F21=0,IF(E21&gt;0,"No recent demand","No demand / no stock"),IF(E21&lt;=I21,"Order now",IF(L21&lt;='Assumptions'!$B$8,"Review soon","Sufficient stock")))</x:f>
        <x:v>Order now</x:v>
      </x:c>
      <x:c r="N21" s="300" t="n">
        <x:f>K21*H21</x:f>
        <x:v>3.0132</x:v>
      </x:c>
    </x:row>
    <x:row r="22" ht="16.5" customHeight="1">
      <x:c r="A22" s="290" t="str">
        <x:v>SKU0692</x:v>
      </x:c>
      <x:c r="B22" s="291" t="str">
        <x:v>Product 0692</x:v>
      </x:c>
      <x:c r="C22" s="291" t="str">
        <x:v>Store C</x:v>
      </x:c>
      <x:c r="D22" s="291" t="str">
        <x:v>Supplier 02</x:v>
      </x:c>
      <x:c r="E22" s="292" t="n">
        <x:v>31</x:v>
      </x:c>
      <x:c r="F22" s="292" t="n">
        <x:v>16.2065</x:v>
      </x:c>
      <x:c r="G22" s="293" t="n">
        <x:v>104.7294</x:v>
      </x:c>
      <x:c r="H22" s="293" t="n">
        <x:v>0.21</x:v>
      </x:c>
      <x:c r="I22" s="293" t="n">
        <x:f>F22*'Assumptions'!$B$7*(1+'Assumptions'!$B$9)</x:f>
        <x:v>38.895599999999995</x:v>
      </x:c>
      <x:c r="J22" s="293" t="n">
        <x:f>F22*('Assumptions'!$B$7+'Assumptions'!$B$8)*(1+'Assumptions'!$B$9)</x:f>
        <x:v>116.68679999999998</x:v>
      </x:c>
      <x:c r="K22" s="295" t="n">
        <x:f>MAX(0,ROUNDUP(J22-E22,0))</x:f>
        <x:v>86</x:v>
      </x:c>
      <x:c r="L22" s="297" t="n">
        <x:f>IF(F22=0,"",E22/F22)</x:f>
        <x:v>1.9128127603122207</x:v>
      </x:c>
      <x:c r="M22" s="291" t="str">
        <x:f>IF(F22=0,IF(E22&gt;0,"No recent demand","No demand / no stock"),IF(E22&lt;=I22,"Order now",IF(L22&lt;='Assumptions'!$B$8,"Review soon","Sufficient stock")))</x:f>
        <x:v>Order now</x:v>
      </x:c>
      <x:c r="N22" s="299" t="n">
        <x:f>K22*H22</x:f>
        <x:v>18.06</x:v>
      </x:c>
    </x:row>
    <x:row r="23" ht="16.5" customHeight="1">
      <x:c r="A23" s="278" t="str">
        <x:v>SKU0569</x:v>
      </x:c>
      <x:c r="B23" s="279" t="str">
        <x:v>Product 0569</x:v>
      </x:c>
      <x:c r="C23" s="279" t="str">
        <x:v>Store C</x:v>
      </x:c>
      <x:c r="D23" s="279" t="str">
        <x:v>Supplier 05</x:v>
      </x:c>
      <x:c r="E23" s="280" t="n">
        <x:v>0</x:v>
      </x:c>
      <x:c r="F23" s="280" t="n">
        <x:v>16.1304</x:v>
      </x:c>
      <x:c r="G23" s="281" t="n">
        <x:v>37.7235</x:v>
      </x:c>
      <x:c r="H23" s="281" t="n">
        <x:v>0.0083</x:v>
      </x:c>
      <x:c r="I23" s="281" t="n">
        <x:f>F23*'Assumptions'!$B$7*(1+'Assumptions'!$B$9)</x:f>
        <x:v>38.71296</x:v>
      </x:c>
      <x:c r="J23" s="281" t="n">
        <x:f>F23*('Assumptions'!$B$7+'Assumptions'!$B$8)*(1+'Assumptions'!$B$9)</x:f>
        <x:v>116.13888</x:v>
      </x:c>
      <x:c r="K23" s="296" t="n">
        <x:f>MAX(0,ROUNDUP(J23-E23,0))</x:f>
        <x:v>117</x:v>
      </x:c>
      <x:c r="L23" s="298" t="n">
        <x:f>IF(F23=0,"",E23/F23)</x:f>
        <x:v>0</x:v>
      </x:c>
      <x:c r="M23" s="279" t="str">
        <x:f>IF(F23=0,IF(E23&gt;0,"No recent demand","No demand / no stock"),IF(E23&lt;=I23,"Order now",IF(L23&lt;='Assumptions'!$B$8,"Review soon","Sufficient stock")))</x:f>
        <x:v>Order now</x:v>
      </x:c>
      <x:c r="N23" s="300" t="n">
        <x:f>K23*H23</x:f>
        <x:v>0.9711</x:v>
      </x:c>
    </x:row>
    <x:row r="24" ht="16.5" customHeight="1">
      <x:c r="A24" s="290" t="str">
        <x:v>SKU0519</x:v>
      </x:c>
      <x:c r="B24" s="291" t="str">
        <x:v>Product 0519</x:v>
      </x:c>
      <x:c r="C24" s="291" t="str">
        <x:v>Store C</x:v>
      </x:c>
      <x:c r="D24" s="291" t="str">
        <x:v>Multiple suppliers</x:v>
      </x:c>
      <x:c r="E24" s="292" t="n">
        <x:v>93</x:v>
      </x:c>
      <x:c r="F24" s="292" t="n">
        <x:v>15.9783</x:v>
      </x:c>
      <x:c r="G24" s="293" t="n">
        <x:v>69.4212</x:v>
      </x:c>
      <x:c r="H24" s="293" t="n">
        <x:v>0.0796</x:v>
      </x:c>
      <x:c r="I24" s="293" t="n">
        <x:f>F24*'Assumptions'!$B$7*(1+'Assumptions'!$B$9)</x:f>
        <x:v>38.34792</x:v>
      </x:c>
      <x:c r="J24" s="293" t="n">
        <x:f>F24*('Assumptions'!$B$7+'Assumptions'!$B$8)*(1+'Assumptions'!$B$9)</x:f>
        <x:v>115.04375999999999</x:v>
      </x:c>
      <x:c r="K24" s="295" t="n">
        <x:f>MAX(0,ROUNDUP(J24-E24,0))</x:f>
        <x:v>23</x:v>
      </x:c>
      <x:c r="L24" s="297" t="n">
        <x:f>IF(F24=0,"",E24/F24)</x:f>
        <x:v>5.820393909239406</x:v>
      </x:c>
      <x:c r="M24" s="291" t="str">
        <x:f>IF(F24=0,IF(E24&gt;0,"No recent demand","No demand / no stock"),IF(E24&lt;=I24,"Order now",IF(L24&lt;='Assumptions'!$B$8,"Review soon","Sufficient stock")))</x:f>
        <x:v>Sufficient stock</x:v>
      </x:c>
      <x:c r="N24" s="299" t="n">
        <x:f>K24*H24</x:f>
        <x:v>1.8308</x:v>
      </x:c>
    </x:row>
    <x:row r="25" ht="16.5" customHeight="1">
      <x:c r="A25" s="278" t="str">
        <x:v>SKU0438</x:v>
      </x:c>
      <x:c r="B25" s="279" t="str">
        <x:v>Product 0438</x:v>
      </x:c>
      <x:c r="C25" s="279" t="str">
        <x:v>Store B</x:v>
      </x:c>
      <x:c r="D25" s="279" t="str">
        <x:v>Multiple suppliers</x:v>
      </x:c>
      <x:c r="E25" s="280" t="n">
        <x:v>0</x:v>
      </x:c>
      <x:c r="F25" s="280" t="n">
        <x:v>15.8261</x:v>
      </x:c>
      <x:c r="G25" s="281" t="n">
        <x:v>17.264</x:v>
      </x:c>
      <x:c r="H25" s="281" t="n">
        <x:v>0</x:v>
      </x:c>
      <x:c r="I25" s="281" t="n">
        <x:f>F25*'Assumptions'!$B$7*(1+'Assumptions'!$B$9)</x:f>
        <x:v>37.982639999999996</x:v>
      </x:c>
      <x:c r="J25" s="281" t="n">
        <x:f>F25*('Assumptions'!$B$7+'Assumptions'!$B$8)*(1+'Assumptions'!$B$9)</x:f>
        <x:v>113.94792000000001</x:v>
      </x:c>
      <x:c r="K25" s="296" t="n">
        <x:f>MAX(0,ROUNDUP(J25-E25,0))</x:f>
        <x:v>114</x:v>
      </x:c>
      <x:c r="L25" s="298" t="n">
        <x:f>IF(F25=0,"",E25/F25)</x:f>
        <x:v>0</x:v>
      </x:c>
      <x:c r="M25" s="279" t="str">
        <x:f>IF(F25=0,IF(E25&gt;0,"No recent demand","No demand / no stock"),IF(E25&lt;=I25,"Order now",IF(L25&lt;='Assumptions'!$B$8,"Review soon","Sufficient stock")))</x:f>
        <x:v>Order now</x:v>
      </x:c>
      <x:c r="N25" s="300" t="n">
        <x:f>K25*H25</x:f>
        <x:v>0</x:v>
      </x:c>
    </x:row>
    <x:row r="26" ht="16.5" customHeight="1">
      <x:c r="A26" s="290" t="str">
        <x:v>SKU1485</x:v>
      </x:c>
      <x:c r="B26" s="291" t="str">
        <x:v>Product 1485</x:v>
      </x:c>
      <x:c r="C26" s="291" t="str">
        <x:v>Store B</x:v>
      </x:c>
      <x:c r="D26" s="291" t="str">
        <x:v>Multiple suppliers</x:v>
      </x:c>
      <x:c r="E26" s="292" t="n">
        <x:v>0</x:v>
      </x:c>
      <x:c r="F26" s="292" t="n">
        <x:v>14.0761</x:v>
      </x:c>
      <x:c r="G26" s="293" t="n">
        <x:v>46.065</x:v>
      </x:c>
      <x:c r="H26" s="293" t="n">
        <x:v>0</x:v>
      </x:c>
      <x:c r="I26" s="293" t="n">
        <x:f>F26*'Assumptions'!$B$7*(1+'Assumptions'!$B$9)</x:f>
        <x:v>33.78264</x:v>
      </x:c>
      <x:c r="J26" s="293" t="n">
        <x:f>F26*('Assumptions'!$B$7+'Assumptions'!$B$8)*(1+'Assumptions'!$B$9)</x:f>
        <x:v>101.34792</x:v>
      </x:c>
      <x:c r="K26" s="295" t="n">
        <x:f>MAX(0,ROUNDUP(J26-E26,0))</x:f>
        <x:v>102</x:v>
      </x:c>
      <x:c r="L26" s="297" t="n">
        <x:f>IF(F26=0,"",E26/F26)</x:f>
        <x:v>0</x:v>
      </x:c>
      <x:c r="M26" s="291" t="str">
        <x:f>IF(F26=0,IF(E26&gt;0,"No recent demand","No demand / no stock"),IF(E26&lt;=I26,"Order now",IF(L26&lt;='Assumptions'!$B$8,"Review soon","Sufficient stock")))</x:f>
        <x:v>Order now</x:v>
      </x:c>
      <x:c r="N26" s="299" t="n">
        <x:f>K26*H26</x:f>
        <x:v>0</x:v>
      </x:c>
    </x:row>
    <x:row r="27" ht="16.5" customHeight="1">
      <x:c r="A27" s="278" t="str">
        <x:v>SKU1398</x:v>
      </x:c>
      <x:c r="B27" s="279" t="str">
        <x:v>Product 1398</x:v>
      </x:c>
      <x:c r="C27" s="279" t="str">
        <x:v>Store A</x:v>
      </x:c>
      <x:c r="D27" s="279" t="str">
        <x:v>Multiple suppliers</x:v>
      </x:c>
      <x:c r="E27" s="280" t="n">
        <x:v>173</x:v>
      </x:c>
      <x:c r="F27" s="280" t="n">
        <x:v>13.8478</x:v>
      </x:c>
      <x:c r="G27" s="281" t="n">
        <x:v>43.9236</x:v>
      </x:c>
      <x:c r="H27" s="281" t="n">
        <x:v>0.0743</x:v>
      </x:c>
      <x:c r="I27" s="281" t="n">
        <x:f>F27*'Assumptions'!$B$7*(1+'Assumptions'!$B$9)</x:f>
        <x:v>33.234719999999996</x:v>
      </x:c>
      <x:c r="J27" s="281" t="n">
        <x:f>F27*('Assumptions'!$B$7+'Assumptions'!$B$8)*(1+'Assumptions'!$B$9)</x:f>
        <x:v>99.70415999999999</x:v>
      </x:c>
      <x:c r="K27" s="296" t="n">
        <x:f>MAX(0,ROUNDUP(J27-E27,0))</x:f>
        <x:v>0</x:v>
      </x:c>
      <x:c r="L27" s="298" t="n">
        <x:f>IF(F27=0,"",E27/F27)</x:f>
        <x:v>12.49295917040974</x:v>
      </x:c>
      <x:c r="M27" s="279" t="str">
        <x:f>IF(F27=0,IF(E27&gt;0,"No recent demand","No demand / no stock"),IF(E27&lt;=I27,"Order now",IF(L27&lt;='Assumptions'!$B$8,"Review soon","Sufficient stock")))</x:f>
        <x:v>Sufficient stock</x:v>
      </x:c>
      <x:c r="N27" s="300" t="n">
        <x:f>K27*H27</x:f>
        <x:v>0</x:v>
      </x:c>
    </x:row>
    <x:row r="28" ht="16.5" customHeight="1">
      <x:c r="A28" s="290" t="str">
        <x:v>SKU1424</x:v>
      </x:c>
      <x:c r="B28" s="291" t="str">
        <x:v>Product 1424</x:v>
      </x:c>
      <x:c r="C28" s="291" t="str">
        <x:v>Store C</x:v>
      </x:c>
      <x:c r="D28" s="291" t="str">
        <x:v>Multiple suppliers</x:v>
      </x:c>
      <x:c r="E28" s="292" t="n">
        <x:v>69</x:v>
      </x:c>
      <x:c r="F28" s="292" t="n">
        <x:v>13.4674</x:v>
      </x:c>
      <x:c r="G28" s="293" t="n">
        <x:v>43.7742</x:v>
      </x:c>
      <x:c r="H28" s="293" t="n">
        <x:v>0.0743</x:v>
      </x:c>
      <x:c r="I28" s="293" t="n">
        <x:f>F28*'Assumptions'!$B$7*(1+'Assumptions'!$B$9)</x:f>
        <x:v>32.32176</x:v>
      </x:c>
      <x:c r="J28" s="293" t="n">
        <x:f>F28*('Assumptions'!$B$7+'Assumptions'!$B$8)*(1+'Assumptions'!$B$9)</x:f>
        <x:v>96.96527999999999</x:v>
      </x:c>
      <x:c r="K28" s="295" t="n">
        <x:f>MAX(0,ROUNDUP(J28-E28,0))</x:f>
        <x:v>28</x:v>
      </x:c>
      <x:c r="L28" s="297" t="n">
        <x:f>IF(F28=0,"",E28/F28)</x:f>
        <x:v>5.123483374667717</x:v>
      </x:c>
      <x:c r="M28" s="291" t="str">
        <x:f>IF(F28=0,IF(E28&gt;0,"No recent demand","No demand / no stock"),IF(E28&lt;=I28,"Order now",IF(L28&lt;='Assumptions'!$B$8,"Review soon","Sufficient stock")))</x:f>
        <x:v>Sufficient stock</x:v>
      </x:c>
      <x:c r="N28" s="299" t="n">
        <x:f>K28*H28</x:f>
        <x:v>2.0804</x:v>
      </x:c>
    </x:row>
    <x:row r="29" ht="16.5" customHeight="1">
      <x:c r="A29" s="278" t="str">
        <x:v>SKU0879</x:v>
      </x:c>
      <x:c r="B29" s="279" t="str">
        <x:v>Product 0879</x:v>
      </x:c>
      <x:c r="C29" s="279" t="str">
        <x:v>Store B</x:v>
      </x:c>
      <x:c r="D29" s="279" t="str">
        <x:v>Supplier 69</x:v>
      </x:c>
      <x:c r="E29" s="280" t="n">
        <x:v>76</x:v>
      </x:c>
      <x:c r="F29" s="280" t="n">
        <x:v>13.087</x:v>
      </x:c>
      <x:c r="G29" s="281" t="n">
        <x:v>20.4097</x:v>
      </x:c>
      <x:c r="H29" s="281" t="n">
        <x:v>0.0311</x:v>
      </x:c>
      <x:c r="I29" s="281" t="n">
        <x:f>F29*'Assumptions'!$B$7*(1+'Assumptions'!$B$9)</x:f>
        <x:v>31.4088</x:v>
      </x:c>
      <x:c r="J29" s="281" t="n">
        <x:f>F29*('Assumptions'!$B$7+'Assumptions'!$B$8)*(1+'Assumptions'!$B$9)</x:f>
        <x:v>94.22639999999998</x:v>
      </x:c>
      <x:c r="K29" s="296" t="n">
        <x:f>MAX(0,ROUNDUP(J29-E29,0))</x:f>
        <x:v>19</x:v>
      </x:c>
      <x:c r="L29" s="298" t="n">
        <x:f>IF(F29=0,"",E29/F29)</x:f>
        <x:v>5.807289676778483</x:v>
      </x:c>
      <x:c r="M29" s="279" t="str">
        <x:f>IF(F29=0,IF(E29&gt;0,"No recent demand","No demand / no stock"),IF(E29&lt;=I29,"Order now",IF(L29&lt;='Assumptions'!$B$8,"Review soon","Sufficient stock")))</x:f>
        <x:v>Sufficient stock</x:v>
      </x:c>
      <x:c r="N29" s="300" t="n">
        <x:f>K29*H29</x:f>
        <x:v>0.5909</x:v>
      </x:c>
    </x:row>
    <x:row r="30" ht="16.5" customHeight="1">
      <x:c r="A30" s="290" t="str">
        <x:v>SKU0841</x:v>
      </x:c>
      <x:c r="B30" s="291" t="str">
        <x:v>Product 0841</x:v>
      </x:c>
      <x:c r="C30" s="291" t="str">
        <x:v>Store B</x:v>
      </x:c>
      <x:c r="D30" s="291" t="str">
        <x:v>Supplier 25</x:v>
      </x:c>
      <x:c r="E30" s="292" t="n">
        <x:v>213</x:v>
      </x:c>
      <x:c r="F30" s="292" t="n">
        <x:v>12.8587</x:v>
      </x:c>
      <x:c r="G30" s="293" t="n">
        <x:v>48.1151</x:v>
      </x:c>
      <x:c r="H30" s="293" t="n">
        <x:v>0.1883</x:v>
      </x:c>
      <x:c r="I30" s="293" t="n">
        <x:f>F30*'Assumptions'!$B$7*(1+'Assumptions'!$B$9)</x:f>
        <x:v>30.86088</x:v>
      </x:c>
      <x:c r="J30" s="293" t="n">
        <x:f>F30*('Assumptions'!$B$7+'Assumptions'!$B$8)*(1+'Assumptions'!$B$9)</x:f>
        <x:v>92.58264000000001</x:v>
      </x:c>
      <x:c r="K30" s="295" t="n">
        <x:f>MAX(0,ROUNDUP(J30-E30,0))</x:f>
        <x:v>0</x:v>
      </x:c>
      <x:c r="L30" s="297" t="n">
        <x:f>IF(F30=0,"",E30/F30)</x:f>
        <x:v>16.56466050222806</x:v>
      </x:c>
      <x:c r="M30" s="291" t="str">
        <x:f>IF(F30=0,IF(E30&gt;0,"No recent demand","No demand / no stock"),IF(E30&lt;=I30,"Order now",IF(L30&lt;='Assumptions'!$B$8,"Review soon","Sufficient stock")))</x:f>
        <x:v>Sufficient stock</x:v>
      </x:c>
      <x:c r="N30" s="299" t="n">
        <x:f>K30*H30</x:f>
        <x:v>0</x:v>
      </x:c>
    </x:row>
    <x:row r="31" ht="16.5" customHeight="1">
      <x:c r="A31" s="278" t="str">
        <x:v>SKU0655</x:v>
      </x:c>
      <x:c r="B31" s="279" t="str">
        <x:v>Product 0655</x:v>
      </x:c>
      <x:c r="C31" s="279" t="str">
        <x:v>Store C</x:v>
      </x:c>
      <x:c r="D31" s="279" t="str">
        <x:v>Supplier 02</x:v>
      </x:c>
      <x:c r="E31" s="280" t="n">
        <x:v>26</x:v>
      </x:c>
      <x:c r="F31" s="280" t="n">
        <x:v>12.7065</x:v>
      </x:c>
      <x:c r="G31" s="281" t="n">
        <x:v>275.726</x:v>
      </x:c>
      <x:c r="H31" s="281" t="n">
        <x:v>0.4324</x:v>
      </x:c>
      <x:c r="I31" s="281" t="n">
        <x:f>F31*'Assumptions'!$B$7*(1+'Assumptions'!$B$9)</x:f>
        <x:v>30.4956</x:v>
      </x:c>
      <x:c r="J31" s="281" t="n">
        <x:f>F31*('Assumptions'!$B$7+'Assumptions'!$B$8)*(1+'Assumptions'!$B$9)</x:f>
        <x:v>91.4868</x:v>
      </x:c>
      <x:c r="K31" s="296" t="n">
        <x:f>MAX(0,ROUNDUP(J31-E31,0))</x:f>
        <x:v>66</x:v>
      </x:c>
      <x:c r="L31" s="298" t="n">
        <x:f>IF(F31=0,"",E31/F31)</x:f>
        <x:v>2.046196828394916</x:v>
      </x:c>
      <x:c r="M31" s="279" t="str">
        <x:f>IF(F31=0,IF(E31&gt;0,"No recent demand","No demand / no stock"),IF(E31&lt;=I31,"Order now",IF(L31&lt;='Assumptions'!$B$8,"Review soon","Sufficient stock")))</x:f>
        <x:v>Order now</x:v>
      </x:c>
      <x:c r="N31" s="300" t="n">
        <x:f>K31*H31</x:f>
        <x:v>28.5384</x:v>
      </x:c>
    </x:row>
    <x:row r="32" ht="16.5" customHeight="1">
      <x:c r="A32" s="290" t="str">
        <x:v>SKU0189</x:v>
      </x:c>
      <x:c r="B32" s="291" t="str">
        <x:v>Product 0189</x:v>
      </x:c>
      <x:c r="C32" s="291" t="str">
        <x:v>Store B</x:v>
      </x:c>
      <x:c r="D32" s="291" t="str">
        <x:v>Supplier 68</x:v>
      </x:c>
      <x:c r="E32" s="292" t="n">
        <x:v>81</x:v>
      </x:c>
      <x:c r="F32" s="292" t="n">
        <x:v>12.5543</x:v>
      </x:c>
      <x:c r="G32" s="293" t="n">
        <x:v>13.695</x:v>
      </x:c>
      <x:c r="H32" s="293" t="n">
        <x:v>0.0264</x:v>
      </x:c>
      <x:c r="I32" s="293" t="n">
        <x:f>F32*'Assumptions'!$B$7*(1+'Assumptions'!$B$9)</x:f>
        <x:v>30.130319999999998</x:v>
      </x:c>
      <x:c r="J32" s="293" t="n">
        <x:f>F32*('Assumptions'!$B$7+'Assumptions'!$B$8)*(1+'Assumptions'!$B$9)</x:f>
        <x:v>90.39095999999999</x:v>
      </x:c>
      <x:c r="K32" s="295" t="n">
        <x:f>MAX(0,ROUNDUP(J32-E32,0))</x:f>
        <x:v>10</x:v>
      </x:c>
      <x:c r="L32" s="297" t="n">
        <x:f>IF(F32=0,"",E32/F32)</x:f>
        <x:v>6.451972630891408</x:v>
      </x:c>
      <x:c r="M32" s="291" t="str">
        <x:f>IF(F32=0,IF(E32&gt;0,"No recent demand","No demand / no stock"),IF(E32&lt;=I32,"Order now",IF(L32&lt;='Assumptions'!$B$8,"Review soon","Sufficient stock")))</x:f>
        <x:v>Sufficient stock</x:v>
      </x:c>
      <x:c r="N32" s="299" t="n">
        <x:f>K32*H32</x:f>
        <x:v>0.264</x:v>
      </x:c>
    </x:row>
    <x:row r="33" ht="16.5" customHeight="1">
      <x:c r="A33" s="278" t="str">
        <x:v>SKU0633</x:v>
      </x:c>
      <x:c r="B33" s="279" t="str">
        <x:v>Product 0633</x:v>
      </x:c>
      <x:c r="C33" s="279" t="str">
        <x:v>Store C</x:v>
      </x:c>
      <x:c r="D33" s="279" t="str">
        <x:v>Supplier 02</x:v>
      </x:c>
      <x:c r="E33" s="280" t="n">
        <x:v>55</x:v>
      </x:c>
      <x:c r="F33" s="280" t="n">
        <x:v>12.4022</x:v>
      </x:c>
      <x:c r="G33" s="281" t="n">
        <x:v>323.1024</x:v>
      </x:c>
      <x:c r="H33" s="281" t="n">
        <x:v>0.7968</x:v>
      </x:c>
      <x:c r="I33" s="281" t="n">
        <x:f>F33*'Assumptions'!$B$7*(1+'Assumptions'!$B$9)</x:f>
        <x:v>29.76528</x:v>
      </x:c>
      <x:c r="J33" s="281" t="n">
        <x:f>F33*('Assumptions'!$B$7+'Assumptions'!$B$8)*(1+'Assumptions'!$B$9)</x:f>
        <x:v>89.29584</x:v>
      </x:c>
      <x:c r="K33" s="296" t="n">
        <x:f>MAX(0,ROUNDUP(J33-E33,0))</x:f>
        <x:v>35</x:v>
      </x:c>
      <x:c r="L33" s="298" t="n">
        <x:f>IF(F33=0,"",E33/F33)</x:f>
        <x:v>4.4346970698747</x:v>
      </x:c>
      <x:c r="M33" s="279" t="str">
        <x:f>IF(F33=0,IF(E33&gt;0,"No recent demand","No demand / no stock"),IF(E33&lt;=I33,"Order now",IF(L33&lt;='Assumptions'!$B$8,"Review soon","Sufficient stock")))</x:f>
        <x:v>Sufficient stock</x:v>
      </x:c>
      <x:c r="N33" s="300" t="n">
        <x:f>K33*H33</x:f>
        <x:v>27.887999999999998</x:v>
      </x:c>
    </x:row>
    <x:row r="34" ht="16.5" customHeight="1">
      <x:c r="A34" s="290" t="str">
        <x:v>SKU1077</x:v>
      </x:c>
      <x:c r="B34" s="291" t="str">
        <x:v>Product 1077</x:v>
      </x:c>
      <x:c r="C34" s="291" t="str">
        <x:v>Store B</x:v>
      </x:c>
      <x:c r="D34" s="291" t="str">
        <x:v>Supplier 02</x:v>
      </x:c>
      <x:c r="E34" s="292" t="n">
        <x:v>0</x:v>
      </x:c>
      <x:c r="F34" s="292" t="n">
        <x:v>12.3261</x:v>
      </x:c>
      <x:c r="G34" s="293" t="n">
        <x:v>267.177</x:v>
      </x:c>
      <x:c r="H34" s="293" t="n">
        <x:v>0.4756</x:v>
      </x:c>
      <x:c r="I34" s="293" t="n">
        <x:f>F34*'Assumptions'!$B$7*(1+'Assumptions'!$B$9)</x:f>
        <x:v>29.582639999999998</x:v>
      </x:c>
      <x:c r="J34" s="293" t="n">
        <x:f>F34*('Assumptions'!$B$7+'Assumptions'!$B$8)*(1+'Assumptions'!$B$9)</x:f>
        <x:v>88.74792000000001</x:v>
      </x:c>
      <x:c r="K34" s="295" t="n">
        <x:f>MAX(0,ROUNDUP(J34-E34,0))</x:f>
        <x:v>89</x:v>
      </x:c>
      <x:c r="L34" s="297" t="n">
        <x:f>IF(F34=0,"",E34/F34)</x:f>
        <x:v>0</x:v>
      </x:c>
      <x:c r="M34" s="291" t="str">
        <x:f>IF(F34=0,IF(E34&gt;0,"No recent demand","No demand / no stock"),IF(E34&lt;=I34,"Order now",IF(L34&lt;='Assumptions'!$B$8,"Review soon","Sufficient stock")))</x:f>
        <x:v>Order now</x:v>
      </x:c>
      <x:c r="N34" s="299" t="n">
        <x:f>K34*H34</x:f>
        <x:v>42.3284</x:v>
      </x:c>
    </x:row>
    <x:row r="35" ht="16.5" customHeight="1">
      <x:c r="A35" s="278" t="str">
        <x:v>SKU0519</x:v>
      </x:c>
      <x:c r="B35" s="279" t="str">
        <x:v>Product 0519</x:v>
      </x:c>
      <x:c r="C35" s="279" t="str">
        <x:v>Store A</x:v>
      </x:c>
      <x:c r="D35" s="279" t="str">
        <x:v>Multiple suppliers</x:v>
      </x:c>
      <x:c r="E35" s="280" t="n">
        <x:v>48</x:v>
      </x:c>
      <x:c r="F35" s="280" t="n">
        <x:v>12.0978</x:v>
      </x:c>
      <x:c r="G35" s="281" t="n">
        <x:v>51.7588</x:v>
      </x:c>
      <x:c r="H35" s="281" t="n">
        <x:v>0.0796</x:v>
      </x:c>
      <x:c r="I35" s="281" t="n">
        <x:f>F35*'Assumptions'!$B$7*(1+'Assumptions'!$B$9)</x:f>
        <x:v>29.034719999999997</x:v>
      </x:c>
      <x:c r="J35" s="281" t="n">
        <x:f>F35*('Assumptions'!$B$7+'Assumptions'!$B$8)*(1+'Assumptions'!$B$9)</x:f>
        <x:v>87.10416</x:v>
      </x:c>
      <x:c r="K35" s="296" t="n">
        <x:f>MAX(0,ROUNDUP(J35-E35,0))</x:f>
        <x:v>40</x:v>
      </x:c>
      <x:c r="L35" s="298" t="n">
        <x:f>IF(F35=0,"",E35/F35)</x:f>
        <x:v>3.9676635421316275</x:v>
      </x:c>
      <x:c r="M35" s="279" t="str">
        <x:f>IF(F35=0,IF(E35&gt;0,"No recent demand","No demand / no stock"),IF(E35&lt;=I35,"Order now",IF(L35&lt;='Assumptions'!$B$8,"Review soon","Sufficient stock")))</x:f>
        <x:v>Review soon</x:v>
      </x:c>
      <x:c r="N35" s="300" t="n">
        <x:f>K35*H35</x:f>
        <x:v>3.184</x:v>
      </x:c>
    </x:row>
    <x:row r="36" ht="16.5" customHeight="1">
      <x:c r="A36" s="290" t="str">
        <x:v>SKU1231</x:v>
      </x:c>
      <x:c r="B36" s="291" t="str">
        <x:v>Product 1231</x:v>
      </x:c>
      <x:c r="C36" s="291" t="str">
        <x:v>Store C</x:v>
      </x:c>
      <x:c r="D36" s="291" t="str">
        <x:v>Supplier 19</x:v>
      </x:c>
      <x:c r="E36" s="292" t="n">
        <x:v>-9</x:v>
      </x:c>
      <x:c r="F36" s="292" t="n">
        <x:v>12.0978</x:v>
      </x:c>
      <x:c r="G36" s="293" t="n">
        <x:v>26.3442</x:v>
      </x:c>
      <x:c r="H36" s="293" t="n">
        <x:v>0.0498</x:v>
      </x:c>
      <x:c r="I36" s="293" t="n">
        <x:f>F36*'Assumptions'!$B$7*(1+'Assumptions'!$B$9)</x:f>
        <x:v>29.034719999999997</x:v>
      </x:c>
      <x:c r="J36" s="293" t="n">
        <x:f>F36*('Assumptions'!$B$7+'Assumptions'!$B$8)*(1+'Assumptions'!$B$9)</x:f>
        <x:v>87.10416</x:v>
      </x:c>
      <x:c r="K36" s="295" t="n">
        <x:f>MAX(0,ROUNDUP(J36-E36,0))</x:f>
        <x:v>97</x:v>
      </x:c>
      <x:c r="L36" s="297" t="n">
        <x:f>IF(F36=0,"",E36/F36)</x:f>
        <x:v>-0.7439369141496801</x:v>
      </x:c>
      <x:c r="M36" s="291" t="str">
        <x:f>IF(F36=0,IF(E36&gt;0,"No recent demand","No demand / no stock"),IF(E36&lt;=I36,"Order now",IF(L36&lt;='Assumptions'!$B$8,"Review soon","Sufficient stock")))</x:f>
        <x:v>Order now</x:v>
      </x:c>
      <x:c r="N36" s="299" t="n">
        <x:f>K36*H36</x:f>
        <x:v>4.8306</x:v>
      </x:c>
    </x:row>
    <x:row r="37" ht="16.5" customHeight="1">
      <x:c r="A37" s="278" t="str">
        <x:v>SKU1424</x:v>
      </x:c>
      <x:c r="B37" s="279" t="str">
        <x:v>Product 1424</x:v>
      </x:c>
      <x:c r="C37" s="279" t="str">
        <x:v>Store A</x:v>
      </x:c>
      <x:c r="D37" s="279" t="str">
        <x:v>Multiple suppliers</x:v>
      </x:c>
      <x:c r="E37" s="280" t="n">
        <x:v>206</x:v>
      </x:c>
      <x:c r="F37" s="280" t="n">
        <x:v>12.0217</x:v>
      </x:c>
      <x:c r="G37" s="281" t="n">
        <x:v>37.848</x:v>
      </x:c>
      <x:c r="H37" s="281" t="n">
        <x:v>0.0743</x:v>
      </x:c>
      <x:c r="I37" s="281" t="n">
        <x:f>F37*'Assumptions'!$B$7*(1+'Assumptions'!$B$9)</x:f>
        <x:v>28.852079999999997</x:v>
      </x:c>
      <x:c r="J37" s="281" t="n">
        <x:f>F37*('Assumptions'!$B$7+'Assumptions'!$B$8)*(1+'Assumptions'!$B$9)</x:f>
        <x:v>86.55624</x:v>
      </x:c>
      <x:c r="K37" s="296" t="n">
        <x:f>MAX(0,ROUNDUP(J37-E37,0))</x:f>
        <x:v>0</x:v>
      </x:c>
      <x:c r="L37" s="298" t="n">
        <x:f>IF(F37=0,"",E37/F37)</x:f>
        <x:v>17.135679645973532</x:v>
      </x:c>
      <x:c r="M37" s="279" t="str">
        <x:f>IF(F37=0,IF(E37&gt;0,"No recent demand","No demand / no stock"),IF(E37&lt;=I37,"Order now",IF(L37&lt;='Assumptions'!$B$8,"Review soon","Sufficient stock")))</x:f>
        <x:v>Sufficient stock</x:v>
      </x:c>
      <x:c r="N37" s="300" t="n">
        <x:f>K37*H37</x:f>
        <x:v>0</x:v>
      </x:c>
    </x:row>
    <x:row r="38" ht="16.5" customHeight="1">
      <x:c r="A38" s="290" t="str">
        <x:v>SKU1398</x:v>
      </x:c>
      <x:c r="B38" s="291" t="str">
        <x:v>Product 1398</x:v>
      </x:c>
      <x:c r="C38" s="291" t="str">
        <x:v>Store C</x:v>
      </x:c>
      <x:c r="D38" s="291" t="str">
        <x:v>Multiple suppliers</x:v>
      </x:c>
      <x:c r="E38" s="292" t="n">
        <x:v>108</x:v>
      </x:c>
      <x:c r="F38" s="292" t="n">
        <x:v>11.8696</x:v>
      </x:c>
      <x:c r="G38" s="293" t="n">
        <x:v>38.4207</x:v>
      </x:c>
      <x:c r="H38" s="293" t="n">
        <x:v>0.0743</x:v>
      </x:c>
      <x:c r="I38" s="293" t="n">
        <x:f>F38*'Assumptions'!$B$7*(1+'Assumptions'!$B$9)</x:f>
        <x:v>28.48704</x:v>
      </x:c>
      <x:c r="J38" s="293" t="n">
        <x:f>F38*('Assumptions'!$B$7+'Assumptions'!$B$8)*(1+'Assumptions'!$B$9)</x:f>
        <x:v>85.46112000000001</x:v>
      </x:c>
      <x:c r="K38" s="295" t="n">
        <x:f>MAX(0,ROUNDUP(J38-E38,0))</x:f>
        <x:v>0</x:v>
      </x:c>
      <x:c r="L38" s="297" t="n">
        <x:f>IF(F38=0,"",E38/F38)</x:f>
        <x:v>9.098874435532789</x:v>
      </x:c>
      <x:c r="M38" s="291" t="str">
        <x:f>IF(F38=0,IF(E38&gt;0,"No recent demand","No demand / no stock"),IF(E38&lt;=I38,"Order now",IF(L38&lt;='Assumptions'!$B$8,"Review soon","Sufficient stock")))</x:f>
        <x:v>Sufficient stock</x:v>
      </x:c>
      <x:c r="N38" s="299" t="n">
        <x:f>K38*H38</x:f>
        <x:v>0</x:v>
      </x:c>
    </x:row>
    <x:row r="39" ht="16.5" customHeight="1">
      <x:c r="A39" s="278" t="str">
        <x:v>SKU1787</x:v>
      </x:c>
      <x:c r="B39" s="279" t="str">
        <x:v>Product 1787</x:v>
      </x:c>
      <x:c r="C39" s="279" t="str">
        <x:v>Store C</x:v>
      </x:c>
      <x:c r="D39" s="279" t="str">
        <x:v>Supplier 42</x:v>
      </x:c>
      <x:c r="E39" s="280" t="n">
        <x:v>0</x:v>
      </x:c>
      <x:c r="F39" s="280" t="n">
        <x:v>11.8696</x:v>
      </x:c>
      <x:c r="G39" s="281" t="n">
        <x:v>448.8225</x:v>
      </x:c>
      <x:c r="H39" s="281" t="n">
        <x:v>1.2367</x:v>
      </x:c>
      <x:c r="I39" s="281" t="n">
        <x:f>F39*'Assumptions'!$B$7*(1+'Assumptions'!$B$9)</x:f>
        <x:v>28.48704</x:v>
      </x:c>
      <x:c r="J39" s="281" t="n">
        <x:f>F39*('Assumptions'!$B$7+'Assumptions'!$B$8)*(1+'Assumptions'!$B$9)</x:f>
        <x:v>85.46112000000001</x:v>
      </x:c>
      <x:c r="K39" s="296" t="n">
        <x:f>MAX(0,ROUNDUP(J39-E39,0))</x:f>
        <x:v>86</x:v>
      </x:c>
      <x:c r="L39" s="298" t="n">
        <x:f>IF(F39=0,"",E39/F39)</x:f>
        <x:v>0</x:v>
      </x:c>
      <x:c r="M39" s="279" t="str">
        <x:f>IF(F39=0,IF(E39&gt;0,"No recent demand","No demand / no stock"),IF(E39&lt;=I39,"Order now",IF(L39&lt;='Assumptions'!$B$8,"Review soon","Sufficient stock")))</x:f>
        <x:v>Order now</x:v>
      </x:c>
      <x:c r="N39" s="300" t="n">
        <x:f>K39*H39</x:f>
        <x:v>106.35619999999999</x:v>
      </x:c>
    </x:row>
    <x:row r="40" ht="16.5" customHeight="1">
      <x:c r="A40" s="290" t="str">
        <x:v>SKU0839</x:v>
      </x:c>
      <x:c r="B40" s="291" t="str">
        <x:v>Product 0839</x:v>
      </x:c>
      <x:c r="C40" s="291" t="str">
        <x:v>Store C</x:v>
      </x:c>
      <x:c r="D40" s="291" t="str">
        <x:v>Supplier 02</x:v>
      </x:c>
      <x:c r="E40" s="292" t="n">
        <x:v>135</x:v>
      </x:c>
      <x:c r="F40" s="292" t="n">
        <x:v>11.337</x:v>
      </x:c>
      <x:c r="G40" s="293" t="n">
        <x:v>36.5781</x:v>
      </x:c>
      <x:c r="H40" s="293" t="n">
        <x:v>0.093</x:v>
      </x:c>
      <x:c r="I40" s="293" t="n">
        <x:f>F40*'Assumptions'!$B$7*(1+'Assumptions'!$B$9)</x:f>
        <x:v>27.2088</x:v>
      </x:c>
      <x:c r="J40" s="293" t="n">
        <x:f>F40*('Assumptions'!$B$7+'Assumptions'!$B$8)*(1+'Assumptions'!$B$9)</x:f>
        <x:v>81.62639999999999</x:v>
      </x:c>
      <x:c r="K40" s="295" t="n">
        <x:f>MAX(0,ROUNDUP(J40-E40,0))</x:f>
        <x:v>0</x:v>
      </x:c>
      <x:c r="L40" s="297" t="n">
        <x:f>IF(F40=0,"",E40/F40)</x:f>
        <x:v>11.90791214607039</x:v>
      </x:c>
      <x:c r="M40" s="291" t="str">
        <x:f>IF(F40=0,IF(E40&gt;0,"No recent demand","No demand / no stock"),IF(E40&lt;=I40,"Order now",IF(L40&lt;='Assumptions'!$B$8,"Review soon","Sufficient stock")))</x:f>
        <x:v>Sufficient stock</x:v>
      </x:c>
      <x:c r="N40" s="299" t="n">
        <x:f>K40*H40</x:f>
        <x:v>0</x:v>
      </x:c>
    </x:row>
    <x:row r="41" ht="16.5" customHeight="1">
      <x:c r="A41" s="278" t="str">
        <x:v>SKU0692</x:v>
      </x:c>
      <x:c r="B41" s="279" t="str">
        <x:v>Product 0692</x:v>
      </x:c>
      <x:c r="C41" s="279" t="str">
        <x:v>Store B</x:v>
      </x:c>
      <x:c r="D41" s="279" t="str">
        <x:v>Supplier 02</x:v>
      </x:c>
      <x:c r="E41" s="280" t="n">
        <x:v>22</x:v>
      </x:c>
      <x:c r="F41" s="280" t="n">
        <x:v>10.8804</x:v>
      </x:c>
      <x:c r="G41" s="281" t="n">
        <x:v>70.5666</x:v>
      </x:c>
      <x:c r="H41" s="281" t="n">
        <x:v>0.21</x:v>
      </x:c>
      <x:c r="I41" s="281" t="n">
        <x:f>F41*'Assumptions'!$B$7*(1+'Assumptions'!$B$9)</x:f>
        <x:v>26.112959999999998</x:v>
      </x:c>
      <x:c r="J41" s="281" t="n">
        <x:f>F41*('Assumptions'!$B$7+'Assumptions'!$B$8)*(1+'Assumptions'!$B$9)</x:f>
        <x:v>78.33887999999999</x:v>
      </x:c>
      <x:c r="K41" s="296" t="n">
        <x:f>MAX(0,ROUNDUP(J41-E41,0))</x:f>
        <x:v>57</x:v>
      </x:c>
      <x:c r="L41" s="298" t="n">
        <x:f>IF(F41=0,"",E41/F41)</x:f>
        <x:v>2.02198448586449</x:v>
      </x:c>
      <x:c r="M41" s="279" t="str">
        <x:f>IF(F41=0,IF(E41&gt;0,"No recent demand","No demand / no stock"),IF(E41&lt;=I41,"Order now",IF(L41&lt;='Assumptions'!$B$8,"Review soon","Sufficient stock")))</x:f>
        <x:v>Order now</x:v>
      </x:c>
      <x:c r="N41" s="300" t="n">
        <x:f>K41*H41</x:f>
        <x:v>11.969999999999999</x:v>
      </x:c>
    </x:row>
    <x:row r="42" ht="16.5" customHeight="1">
      <x:c r="A42" s="290" t="str">
        <x:v>SKU1404</x:v>
      </x:c>
      <x:c r="B42" s="291" t="str">
        <x:v>Product 1404</x:v>
      </x:c>
      <x:c r="C42" s="291" t="str">
        <x:v>Store B</x:v>
      </x:c>
      <x:c r="D42" s="291" t="str">
        <x:v>Multiple suppliers</x:v>
      </x:c>
      <x:c r="E42" s="292" t="n">
        <x:v>158</x:v>
      </x:c>
      <x:c r="F42" s="292" t="n">
        <x:v>10.8804</x:v>
      </x:c>
      <x:c r="G42" s="293" t="n">
        <x:v>141.1332</x:v>
      </x:c>
      <x:c r="H42" s="293" t="n">
        <x:v>0.381</x:v>
      </x:c>
      <x:c r="I42" s="293" t="n">
        <x:f>F42*'Assumptions'!$B$7*(1+'Assumptions'!$B$9)</x:f>
        <x:v>26.112959999999998</x:v>
      </x:c>
      <x:c r="J42" s="293" t="n">
        <x:f>F42*('Assumptions'!$B$7+'Assumptions'!$B$8)*(1+'Assumptions'!$B$9)</x:f>
        <x:v>78.33887999999999</x:v>
      </x:c>
      <x:c r="K42" s="295" t="n">
        <x:f>MAX(0,ROUNDUP(J42-E42,0))</x:f>
        <x:v>0</x:v>
      </x:c>
      <x:c r="L42" s="297" t="n">
        <x:f>IF(F42=0,"",E42/F42)</x:f>
        <x:v>14.521524943935885</x:v>
      </x:c>
      <x:c r="M42" s="291" t="str">
        <x:f>IF(F42=0,IF(E42&gt;0,"No recent demand","No demand / no stock"),IF(E42&lt;=I42,"Order now",IF(L42&lt;='Assumptions'!$B$8,"Review soon","Sufficient stock")))</x:f>
        <x:v>Sufficient stock</x:v>
      </x:c>
      <x:c r="N42" s="299" t="n">
        <x:f>K42*H42</x:f>
        <x:v>0</x:v>
      </x:c>
    </x:row>
    <x:row r="43" ht="16.5" customHeight="1">
      <x:c r="A43" s="278" t="str">
        <x:v>SKU0518</x:v>
      </x:c>
      <x:c r="B43" s="279" t="str">
        <x:v>Product 0518</x:v>
      </x:c>
      <x:c r="C43" s="279" t="str">
        <x:v>Store C</x:v>
      </x:c>
      <x:c r="D43" s="279" t="str">
        <x:v>Multiple suppliers</x:v>
      </x:c>
      <x:c r="E43" s="280" t="n">
        <x:v>57</x:v>
      </x:c>
      <x:c r="F43" s="280" t="n">
        <x:v>10.8043</x:v>
      </x:c>
      <x:c r="G43" s="281" t="n">
        <x:v>81.9791</x:v>
      </x:c>
      <x:c r="H43" s="281" t="n">
        <x:v>0.2229</x:v>
      </x:c>
      <x:c r="I43" s="281" t="n">
        <x:f>F43*'Assumptions'!$B$7*(1+'Assumptions'!$B$9)</x:f>
        <x:v>25.93032</x:v>
      </x:c>
      <x:c r="J43" s="281" t="n">
        <x:f>F43*('Assumptions'!$B$7+'Assumptions'!$B$8)*(1+'Assumptions'!$B$9)</x:f>
        <x:v>77.79096</x:v>
      </x:c>
      <x:c r="K43" s="296" t="n">
        <x:f>MAX(0,ROUNDUP(J43-E43,0))</x:f>
        <x:v>21</x:v>
      </x:c>
      <x:c r="L43" s="298" t="n">
        <x:f>IF(F43=0,"",E43/F43)</x:f>
        <x:v>5.275677276639857</x:v>
      </x:c>
      <x:c r="M43" s="279" t="str">
        <x:f>IF(F43=0,IF(E43&gt;0,"No recent demand","No demand / no stock"),IF(E43&lt;=I43,"Order now",IF(L43&lt;='Assumptions'!$B$8,"Review soon","Sufficient stock")))</x:f>
        <x:v>Sufficient stock</x:v>
      </x:c>
      <x:c r="N43" s="300" t="n">
        <x:f>K43*H43</x:f>
        <x:v>4.680899999999999</x:v>
      </x:c>
    </x:row>
    <x:row r="44" ht="16.5" customHeight="1">
      <x:c r="A44" s="290" t="str">
        <x:v>SKU1404</x:v>
      </x:c>
      <x:c r="B44" s="291" t="str">
        <x:v>Product 1404</x:v>
      </x:c>
      <x:c r="C44" s="291" t="str">
        <x:v>Store A</x:v>
      </x:c>
      <x:c r="D44" s="291" t="str">
        <x:v>Multiple suppliers</x:v>
      </x:c>
      <x:c r="E44" s="292" t="n">
        <x:v>179</x:v>
      </x:c>
      <x:c r="F44" s="292" t="n">
        <x:v>10.5761</x:v>
      </x:c>
      <x:c r="G44" s="293" t="n">
        <x:v>134.7588</x:v>
      </x:c>
      <x:c r="H44" s="293" t="n">
        <x:v>0.381</x:v>
      </x:c>
      <x:c r="I44" s="293" t="n">
        <x:f>F44*'Assumptions'!$B$7*(1+'Assumptions'!$B$9)</x:f>
        <x:v>25.38264</x:v>
      </x:c>
      <x:c r="J44" s="293" t="n">
        <x:f>F44*('Assumptions'!$B$7+'Assumptions'!$B$8)*(1+'Assumptions'!$B$9)</x:f>
        <x:v>76.14792</x:v>
      </x:c>
      <x:c r="K44" s="295" t="n">
        <x:f>MAX(0,ROUNDUP(J44-E44,0))</x:f>
        <x:v>0</x:v>
      </x:c>
      <x:c r="L44" s="297" t="n">
        <x:f>IF(F44=0,"",E44/F44)</x:f>
        <x:v>16.924953432739855</x:v>
      </x:c>
      <x:c r="M44" s="291" t="str">
        <x:f>IF(F44=0,IF(E44&gt;0,"No recent demand","No demand / no stock"),IF(E44&lt;=I44,"Order now",IF(L44&lt;='Assumptions'!$B$8,"Review soon","Sufficient stock")))</x:f>
        <x:v>Sufficient stock</x:v>
      </x:c>
      <x:c r="N44" s="299" t="n">
        <x:f>K44*H44</x:f>
        <x:v>0</x:v>
      </x:c>
    </x:row>
    <x:row r="45" ht="16.5" customHeight="1">
      <x:c r="A45" s="278" t="str">
        <x:v>SKU1404</x:v>
      </x:c>
      <x:c r="B45" s="279" t="str">
        <x:v>Product 1404</x:v>
      </x:c>
      <x:c r="C45" s="279" t="str">
        <x:v>Store C</x:v>
      </x:c>
      <x:c r="D45" s="279" t="str">
        <x:v>Multiple suppliers</x:v>
      </x:c>
      <x:c r="E45" s="280" t="n">
        <x:v>108</x:v>
      </x:c>
      <x:c r="F45" s="280" t="n">
        <x:v>10.5761</x:v>
      </x:c>
      <x:c r="G45" s="281" t="n">
        <x:v>137.448</x:v>
      </x:c>
      <x:c r="H45" s="281" t="n">
        <x:v>0.381</x:v>
      </x:c>
      <x:c r="I45" s="281" t="n">
        <x:f>F45*'Assumptions'!$B$7*(1+'Assumptions'!$B$9)</x:f>
        <x:v>25.38264</x:v>
      </x:c>
      <x:c r="J45" s="281" t="n">
        <x:f>F45*('Assumptions'!$B$7+'Assumptions'!$B$8)*(1+'Assumptions'!$B$9)</x:f>
        <x:v>76.14792</x:v>
      </x:c>
      <x:c r="K45" s="296" t="n">
        <x:f>MAX(0,ROUNDUP(J45-E45,0))</x:f>
        <x:v>0</x:v>
      </x:c>
      <x:c r="L45" s="298" t="n">
        <x:f>IF(F45=0,"",E45/F45)</x:f>
        <x:v>10.211703747127958</x:v>
      </x:c>
      <x:c r="M45" s="279" t="str">
        <x:f>IF(F45=0,IF(E45&gt;0,"No recent demand","No demand / no stock"),IF(E45&lt;=I45,"Order now",IF(L45&lt;='Assumptions'!$B$8,"Review soon","Sufficient stock")))</x:f>
        <x:v>Sufficient stock</x:v>
      </x:c>
      <x:c r="N45" s="300" t="n">
        <x:f>K45*H45</x:f>
        <x:v>0</x:v>
      </x:c>
    </x:row>
    <x:row r="46" ht="16.5" customHeight="1">
      <x:c r="A46" s="290" t="str">
        <x:v>SKU1365</x:v>
      </x:c>
      <x:c r="B46" s="291" t="str">
        <x:v>Product 1365</x:v>
      </x:c>
      <x:c r="C46" s="291" t="str">
        <x:v>Store B</x:v>
      </x:c>
      <x:c r="D46" s="291" t="str">
        <x:v>Supplier 59</x:v>
      </x:c>
      <x:c r="E46" s="292" t="n">
        <x:v>76</x:v>
      </x:c>
      <x:c r="F46" s="292" t="n">
        <x:v>10.4239</x:v>
      </x:c>
      <x:c r="G46" s="293" t="n">
        <x:v>41.6328</x:v>
      </x:c>
      <x:c r="H46" s="293" t="n">
        <x:v>0.1411</x:v>
      </x:c>
      <x:c r="I46" s="293" t="n">
        <x:f>F46*'Assumptions'!$B$7*(1+'Assumptions'!$B$9)</x:f>
        <x:v>25.01736</x:v>
      </x:c>
      <x:c r="J46" s="293" t="n">
        <x:f>F46*('Assumptions'!$B$7+'Assumptions'!$B$8)*(1+'Assumptions'!$B$9)</x:f>
        <x:v>75.05207999999999</x:v>
      </x:c>
      <x:c r="K46" s="295" t="n">
        <x:f>MAX(0,ROUNDUP(J46-E46,0))</x:f>
        <x:v>0</x:v>
      </x:c>
      <x:c r="L46" s="297" t="n">
        <x:f>IF(F46=0,"",E46/F46)</x:f>
        <x:v>7.2909371732269115</x:v>
      </x:c>
      <x:c r="M46" s="291" t="str">
        <x:f>IF(F46=0,IF(E46&gt;0,"No recent demand","No demand / no stock"),IF(E46&lt;=I46,"Order now",IF(L46&lt;='Assumptions'!$B$8,"Review soon","Sufficient stock")))</x:f>
        <x:v>Sufficient stock</x:v>
      </x:c>
      <x:c r="N46" s="299" t="n">
        <x:f>K46*H46</x:f>
        <x:v>0</x:v>
      </x:c>
    </x:row>
    <x:row r="47" ht="16.5" customHeight="1">
      <x:c r="A47" s="278" t="str">
        <x:v>SKU1687</x:v>
      </x:c>
      <x:c r="B47" s="279" t="str">
        <x:v>Product 1687</x:v>
      </x:c>
      <x:c r="C47" s="279" t="str">
        <x:v>Store C</x:v>
      </x:c>
      <x:c r="D47" s="279" t="str">
        <x:v>Supplier 42</x:v>
      </x:c>
      <x:c r="E47" s="280" t="n">
        <x:v>0</x:v>
      </x:c>
      <x:c r="F47" s="280" t="n">
        <x:v>10.4239</x:v>
      </x:c>
      <x:c r="G47" s="281" t="n">
        <x:v>68.226</x:v>
      </x:c>
      <x:c r="H47" s="281" t="n">
        <x:v>0</x:v>
      </x:c>
      <x:c r="I47" s="281" t="n">
        <x:f>F47*'Assumptions'!$B$7*(1+'Assumptions'!$B$9)</x:f>
        <x:v>25.01736</x:v>
      </x:c>
      <x:c r="J47" s="281" t="n">
        <x:f>F47*('Assumptions'!$B$7+'Assumptions'!$B$8)*(1+'Assumptions'!$B$9)</x:f>
        <x:v>75.05207999999999</x:v>
      </x:c>
      <x:c r="K47" s="296" t="n">
        <x:f>MAX(0,ROUNDUP(J47-E47,0))</x:f>
        <x:v>76</x:v>
      </x:c>
      <x:c r="L47" s="298" t="n">
        <x:f>IF(F47=0,"",E47/F47)</x:f>
        <x:v>0</x:v>
      </x:c>
      <x:c r="M47" s="279" t="str">
        <x:f>IF(F47=0,IF(E47&gt;0,"No recent demand","No demand / no stock"),IF(E47&lt;=I47,"Order now",IF(L47&lt;='Assumptions'!$B$8,"Review soon","Sufficient stock")))</x:f>
        <x:v>Order now</x:v>
      </x:c>
      <x:c r="N47" s="300" t="n">
        <x:f>K47*H47</x:f>
        <x:v>0</x:v>
      </x:c>
    </x:row>
    <x:row r="48" ht="16.5" customHeight="1">
      <x:c r="A48" s="290" t="str">
        <x:v>SKU1229</x:v>
      </x:c>
      <x:c r="B48" s="291" t="str">
        <x:v>Product 1229</x:v>
      </x:c>
      <x:c r="C48" s="291" t="str">
        <x:v>Store C</x:v>
      </x:c>
      <x:c r="D48" s="291" t="str">
        <x:v>Supplier 19</x:v>
      </x:c>
      <x:c r="E48" s="292" t="n">
        <x:v>-1</x:v>
      </x:c>
      <x:c r="F48" s="292" t="n">
        <x:v>10.2717</x:v>
      </x:c>
      <x:c r="G48" s="293" t="n">
        <x:v>27.6971</x:v>
      </x:c>
      <x:c r="H48" s="293" t="n">
        <x:v>0.0498</x:v>
      </x:c>
      <x:c r="I48" s="293" t="n">
        <x:f>F48*'Assumptions'!$B$7*(1+'Assumptions'!$B$9)</x:f>
        <x:v>24.652079999999998</x:v>
      </x:c>
      <x:c r="J48" s="293" t="n">
        <x:f>F48*('Assumptions'!$B$7+'Assumptions'!$B$8)*(1+'Assumptions'!$B$9)</x:f>
        <x:v>73.95624</x:v>
      </x:c>
      <x:c r="K48" s="295" t="n">
        <x:f>MAX(0,ROUNDUP(J48-E48,0))</x:f>
        <x:v>75</x:v>
      </x:c>
      <x:c r="L48" s="297" t="n">
        <x:f>IF(F48=0,"",E48/F48)</x:f>
        <x:v>-0.09735486823018585</x:v>
      </x:c>
      <x:c r="M48" s="291" t="str">
        <x:f>IF(F48=0,IF(E48&gt;0,"No recent demand","No demand / no stock"),IF(E48&lt;=I48,"Order now",IF(L48&lt;='Assumptions'!$B$8,"Review soon","Sufficient stock")))</x:f>
        <x:v>Order now</x:v>
      </x:c>
      <x:c r="N48" s="299" t="n">
        <x:f>K48*H48</x:f>
        <x:v>3.735</x:v>
      </x:c>
    </x:row>
    <x:row r="49" ht="16.5" customHeight="1">
      <x:c r="A49" s="278" t="str">
        <x:v>SKU0668</x:v>
      </x:c>
      <x:c r="B49" s="279" t="str">
        <x:v>Product 0668</x:v>
      </x:c>
      <x:c r="C49" s="279" t="str">
        <x:v>Store C</x:v>
      </x:c>
      <x:c r="D49" s="279" t="str">
        <x:v>Supplier 61</x:v>
      </x:c>
      <x:c r="E49" s="280" t="n">
        <x:v>0</x:v>
      </x:c>
      <x:c r="F49" s="280" t="n">
        <x:v>10.1196</x:v>
      </x:c>
      <x:c r="G49" s="281" t="n">
        <x:v>469.0164</x:v>
      </x:c>
      <x:c r="H49" s="281" t="n">
        <x:v>1.9124</x:v>
      </x:c>
      <x:c r="I49" s="281" t="n">
        <x:f>F49*'Assumptions'!$B$7*(1+'Assumptions'!$B$9)</x:f>
        <x:v>24.28704</x:v>
      </x:c>
      <x:c r="J49" s="281" t="n">
        <x:f>F49*('Assumptions'!$B$7+'Assumptions'!$B$8)*(1+'Assumptions'!$B$9)</x:f>
        <x:v>72.86112</x:v>
      </x:c>
      <x:c r="K49" s="296" t="n">
        <x:f>MAX(0,ROUNDUP(J49-E49,0))</x:f>
        <x:v>73</x:v>
      </x:c>
      <x:c r="L49" s="298" t="n">
        <x:f>IF(F49=0,"",E49/F49)</x:f>
        <x:v>0</x:v>
      </x:c>
      <x:c r="M49" s="279" t="str">
        <x:f>IF(F49=0,IF(E49&gt;0,"No recent demand","No demand / no stock"),IF(E49&lt;=I49,"Order now",IF(L49&lt;='Assumptions'!$B$8,"Review soon","Sufficient stock")))</x:f>
        <x:v>Order now</x:v>
      </x:c>
      <x:c r="N49" s="300" t="n">
        <x:f>K49*H49</x:f>
        <x:v>139.6052</x:v>
      </x:c>
    </x:row>
    <x:row r="50" ht="16.5" customHeight="1">
      <x:c r="A50" s="290" t="str">
        <x:v>SKU0839</x:v>
      </x:c>
      <x:c r="B50" s="291" t="str">
        <x:v>Product 0839</x:v>
      </x:c>
      <x:c r="C50" s="291" t="str">
        <x:v>Store B</x:v>
      </x:c>
      <x:c r="D50" s="291" t="str">
        <x:v>Supplier 02</x:v>
      </x:c>
      <x:c r="E50" s="292" t="n">
        <x:v>171</x:v>
      </x:c>
      <x:c r="F50" s="292" t="n">
        <x:v>10.1196</x:v>
      </x:c>
      <x:c r="G50" s="293" t="n">
        <x:v>32.9178</x:v>
      </x:c>
      <x:c r="H50" s="293" t="n">
        <x:v>0.093</x:v>
      </x:c>
      <x:c r="I50" s="293" t="n">
        <x:f>F50*'Assumptions'!$B$7*(1+'Assumptions'!$B$9)</x:f>
        <x:v>24.28704</x:v>
      </x:c>
      <x:c r="J50" s="293" t="n">
        <x:f>F50*('Assumptions'!$B$7+'Assumptions'!$B$8)*(1+'Assumptions'!$B$9)</x:f>
        <x:v>72.86112</x:v>
      </x:c>
      <x:c r="K50" s="295" t="n">
        <x:f>MAX(0,ROUNDUP(J50-E50,0))</x:f>
        <x:v>0</x:v>
      </x:c>
      <x:c r="L50" s="297" t="n">
        <x:f>IF(F50=0,"",E50/F50)</x:f>
        <x:v>16.897901102810387</x:v>
      </x:c>
      <x:c r="M50" s="291" t="str">
        <x:f>IF(F50=0,IF(E50&gt;0,"No recent demand","No demand / no stock"),IF(E50&lt;=I50,"Order now",IF(L50&lt;='Assumptions'!$B$8,"Review soon","Sufficient stock")))</x:f>
        <x:v>Sufficient stock</x:v>
      </x:c>
      <x:c r="N50" s="299" t="n">
        <x:f>K50*H50</x:f>
        <x:v>0</x:v>
      </x:c>
    </x:row>
    <x:row r="51" ht="16.5" customHeight="1">
      <x:c r="A51" s="278" t="str">
        <x:v>SKU0189</x:v>
      </x:c>
      <x:c r="B51" s="279" t="str">
        <x:v>Product 0189</x:v>
      </x:c>
      <x:c r="C51" s="279" t="str">
        <x:v>Store C</x:v>
      </x:c>
      <x:c r="D51" s="279" t="str">
        <x:v>Supplier 68</x:v>
      </x:c>
      <x:c r="E51" s="280" t="n">
        <x:v>26</x:v>
      </x:c>
      <x:c r="F51" s="280" t="n">
        <x:v>9.8913</x:v>
      </x:c>
      <x:c r="G51" s="281" t="n">
        <x:v>10.79</x:v>
      </x:c>
      <x:c r="H51" s="281" t="n">
        <x:v>0.0264</x:v>
      </x:c>
      <x:c r="I51" s="281" t="n">
        <x:f>F51*'Assumptions'!$B$7*(1+'Assumptions'!$B$9)</x:f>
        <x:v>23.739119999999996</x:v>
      </x:c>
      <x:c r="J51" s="281" t="n">
        <x:f>F51*('Assumptions'!$B$7+'Assumptions'!$B$8)*(1+'Assumptions'!$B$9)</x:f>
        <x:v>71.21735999999999</x:v>
      </x:c>
      <x:c r="K51" s="296" t="n">
        <x:f>MAX(0,ROUNDUP(J51-E51,0))</x:f>
        <x:v>46</x:v>
      </x:c>
      <x:c r="L51" s="298" t="n">
        <x:f>IF(F51=0,"",E51/F51)</x:f>
        <x:v>2.6285725839879492</x:v>
      </x:c>
      <x:c r="M51" s="279" t="str">
        <x:f>IF(F51=0,IF(E51&gt;0,"No recent demand","No demand / no stock"),IF(E51&lt;=I51,"Order now",IF(L51&lt;='Assumptions'!$B$8,"Review soon","Sufficient stock")))</x:f>
        <x:v>Review soon</x:v>
      </x:c>
      <x:c r="N51" s="300" t="n">
        <x:f>K51*H51</x:f>
        <x:v>1.2144</x:v>
      </x:c>
    </x:row>
    <x:row r="52" ht="16.5" customHeight="1">
      <x:c r="A52" s="290" t="str">
        <x:v>SKU0441</x:v>
      </x:c>
      <x:c r="B52" s="291" t="str">
        <x:v>Product 0441</x:v>
      </x:c>
      <x:c r="C52" s="291" t="str">
        <x:v>Store A</x:v>
      </x:c>
      <x:c r="D52" s="291" t="str">
        <x:v>Supplier 68</x:v>
      </x:c>
      <x:c r="E52" s="292" t="n">
        <x:v>0</x:v>
      </x:c>
      <x:c r="F52" s="292" t="n">
        <x:v>9.8913</x:v>
      </x:c>
      <x:c r="G52" s="293" t="n">
        <x:v>10.79</x:v>
      </x:c>
      <x:c r="H52" s="293" t="n">
        <x:v>0.0243</x:v>
      </x:c>
      <x:c r="I52" s="293" t="n">
        <x:f>F52*'Assumptions'!$B$7*(1+'Assumptions'!$B$9)</x:f>
        <x:v>23.739119999999996</x:v>
      </x:c>
      <x:c r="J52" s="293" t="n">
        <x:f>F52*('Assumptions'!$B$7+'Assumptions'!$B$8)*(1+'Assumptions'!$B$9)</x:f>
        <x:v>71.21735999999999</x:v>
      </x:c>
      <x:c r="K52" s="295" t="n">
        <x:f>MAX(0,ROUNDUP(J52-E52,0))</x:f>
        <x:v>72</x:v>
      </x:c>
      <x:c r="L52" s="297" t="n">
        <x:f>IF(F52=0,"",E52/F52)</x:f>
        <x:v>0</x:v>
      </x:c>
      <x:c r="M52" s="291" t="str">
        <x:f>IF(F52=0,IF(E52&gt;0,"No recent demand","No demand / no stock"),IF(E52&lt;=I52,"Order now",IF(L52&lt;='Assumptions'!$B$8,"Review soon","Sufficient stock")))</x:f>
        <x:v>Order now</x:v>
      </x:c>
      <x:c r="N52" s="299" t="n">
        <x:f>K52*H52</x:f>
        <x:v>1.7495999999999998</x:v>
      </x:c>
    </x:row>
    <x:row r="53" ht="16.5" customHeight="1">
      <x:c r="A53" s="278" t="str">
        <x:v>SKU1735</x:v>
      </x:c>
      <x:c r="B53" s="279" t="str">
        <x:v>Product 1735</x:v>
      </x:c>
      <x:c r="C53" s="279" t="str">
        <x:v>Store C</x:v>
      </x:c>
      <x:c r="D53" s="279" t="str">
        <x:v>Supplier 09</x:v>
      </x:c>
      <x:c r="E53" s="280" t="n">
        <x:v>11</x:v>
      </x:c>
      <x:c r="F53" s="280" t="n">
        <x:v>9.7391</x:v>
      </x:c>
      <x:c r="G53" s="281" t="n">
        <x:v>189.8874</x:v>
      </x:c>
      <x:c r="H53" s="281" t="n">
        <x:v>0.415</x:v>
      </x:c>
      <x:c r="I53" s="281" t="n">
        <x:f>F53*'Assumptions'!$B$7*(1+'Assumptions'!$B$9)</x:f>
        <x:v>23.37384</x:v>
      </x:c>
      <x:c r="J53" s="281" t="n">
        <x:f>F53*('Assumptions'!$B$7+'Assumptions'!$B$8)*(1+'Assumptions'!$B$9)</x:f>
        <x:v>70.12152</x:v>
      </x:c>
      <x:c r="K53" s="296" t="n">
        <x:f>MAX(0,ROUNDUP(J53-E53,0))</x:f>
        <x:v>60</x:v>
      </x:c>
      <x:c r="L53" s="298" t="n">
        <x:f>IF(F53=0,"",E53/F53)</x:f>
        <x:v>1.1294678153012085</x:v>
      </x:c>
      <x:c r="M53" s="279" t="str">
        <x:f>IF(F53=0,IF(E53&gt;0,"No recent demand","No demand / no stock"),IF(E53&lt;=I53,"Order now",IF(L53&lt;='Assumptions'!$B$8,"Review soon","Sufficient stock")))</x:f>
        <x:v>Order now</x:v>
      </x:c>
      <x:c r="N53" s="300" t="n">
        <x:f>K53*H53</x:f>
        <x:v>24.9</x:v>
      </x:c>
    </x:row>
    <x:row r="54" ht="16.5" customHeight="1">
      <x:c r="A54" s="290" t="str">
        <x:v>SKU0228</x:v>
      </x:c>
      <x:c r="B54" s="291" t="str">
        <x:v>Product 0228</x:v>
      </x:c>
      <x:c r="C54" s="291" t="str">
        <x:v>Store B</x:v>
      </x:c>
      <x:c r="D54" s="291" t="str">
        <x:v>Multiple suppliers</x:v>
      </x:c>
      <x:c r="E54" s="292" t="n">
        <x:v>42</x:v>
      </x:c>
      <x:c r="F54" s="292" t="n">
        <x:v>9.587</x:v>
      </x:c>
      <x:c r="G54" s="293" t="n">
        <x:v>32.7933</x:v>
      </x:c>
      <x:c r="H54" s="293" t="n">
        <x:v>0.0602</x:v>
      </x:c>
      <x:c r="I54" s="293" t="n">
        <x:f>F54*'Assumptions'!$B$7*(1+'Assumptions'!$B$9)</x:f>
        <x:v>23.008799999999997</x:v>
      </x:c>
      <x:c r="J54" s="293" t="n">
        <x:f>F54*('Assumptions'!$B$7+'Assumptions'!$B$8)*(1+'Assumptions'!$B$9)</x:f>
        <x:v>69.0264</x:v>
      </x:c>
      <x:c r="K54" s="295" t="n">
        <x:f>MAX(0,ROUNDUP(J54-E54,0))</x:f>
        <x:v>28</x:v>
      </x:c>
      <x:c r="L54" s="297" t="n">
        <x:f>IF(F54=0,"",E54/F54)</x:f>
        <x:v>4.38093251277772</x:v>
      </x:c>
      <x:c r="M54" s="291" t="str">
        <x:f>IF(F54=0,IF(E54&gt;0,"No recent demand","No demand / no stock"),IF(E54&lt;=I54,"Order now",IF(L54&lt;='Assumptions'!$B$8,"Review soon","Sufficient stock")))</x:f>
        <x:v>Sufficient stock</x:v>
      </x:c>
      <x:c r="N54" s="299" t="n">
        <x:f>K54*H54</x:f>
        <x:v>1.6856</x:v>
      </x:c>
    </x:row>
    <x:row r="55" ht="16.5" customHeight="1">
      <x:c r="A55" s="278" t="str">
        <x:v>SKU0652</x:v>
      </x:c>
      <x:c r="B55" s="279" t="str">
        <x:v>Product 0652</x:v>
      </x:c>
      <x:c r="C55" s="279" t="str">
        <x:v>Store C</x:v>
      </x:c>
      <x:c r="D55" s="279" t="str">
        <x:v>Supplier 02</x:v>
      </x:c>
      <x:c r="E55" s="280" t="n">
        <x:v>23</x:v>
      </x:c>
      <x:c r="F55" s="280" t="n">
        <x:v>9.587</x:v>
      </x:c>
      <x:c r="G55" s="281" t="n">
        <x:v>156.2475</x:v>
      </x:c>
      <x:c r="H55" s="281" t="n">
        <x:v>0.4084</x:v>
      </x:c>
      <x:c r="I55" s="281" t="n">
        <x:f>F55*'Assumptions'!$B$7*(1+'Assumptions'!$B$9)</x:f>
        <x:v>23.008799999999997</x:v>
      </x:c>
      <x:c r="J55" s="281" t="n">
        <x:f>F55*('Assumptions'!$B$7+'Assumptions'!$B$8)*(1+'Assumptions'!$B$9)</x:f>
        <x:v>69.0264</x:v>
      </x:c>
      <x:c r="K55" s="296" t="n">
        <x:f>MAX(0,ROUNDUP(J55-E55,0))</x:f>
        <x:v>47</x:v>
      </x:c>
      <x:c r="L55" s="298" t="n">
        <x:f>IF(F55=0,"",E55/F55)</x:f>
        <x:v>2.3990820903306562</x:v>
      </x:c>
      <x:c r="M55" s="279" t="str">
        <x:f>IF(F55=0,IF(E55&gt;0,"No recent demand","No demand / no stock"),IF(E55&lt;=I55,"Order now",IF(L55&lt;='Assumptions'!$B$8,"Review soon","Sufficient stock")))</x:f>
        <x:v>Order now</x:v>
      </x:c>
      <x:c r="N55" s="300" t="n">
        <x:f>K55*H55</x:f>
        <x:v>19.1948</x:v>
      </x:c>
    </x:row>
    <x:row r="56" ht="16.5" customHeight="1">
      <x:c r="A56" s="290" t="str">
        <x:v>SKU0681</x:v>
      </x:c>
      <x:c r="B56" s="291" t="str">
        <x:v>Product 0681</x:v>
      </x:c>
      <x:c r="C56" s="291" t="str">
        <x:v>Store C</x:v>
      </x:c>
      <x:c r="D56" s="291" t="str">
        <x:v>Supplier 02</x:v>
      </x:c>
      <x:c r="E56" s="292" t="n">
        <x:v>0</x:v>
      </x:c>
      <x:c r="F56" s="292" t="n">
        <x:v>9.5109</x:v>
      </x:c>
      <x:c r="G56" s="293" t="n">
        <x:v>144.4366</x:v>
      </x:c>
      <x:c r="H56" s="293" t="n">
        <x:v>0.3826</x:v>
      </x:c>
      <x:c r="I56" s="293" t="n">
        <x:f>F56*'Assumptions'!$B$7*(1+'Assumptions'!$B$9)</x:f>
        <x:v>22.826159999999998</x:v>
      </x:c>
      <x:c r="J56" s="293" t="n">
        <x:f>F56*('Assumptions'!$B$7+'Assumptions'!$B$8)*(1+'Assumptions'!$B$9)</x:f>
        <x:v>68.47847999999999</x:v>
      </x:c>
      <x:c r="K56" s="295" t="n">
        <x:f>MAX(0,ROUNDUP(J56-E56,0))</x:f>
        <x:v>69</x:v>
      </x:c>
      <x:c r="L56" s="297" t="n">
        <x:f>IF(F56=0,"",E56/F56)</x:f>
        <x:v>0</x:v>
      </x:c>
      <x:c r="M56" s="291" t="str">
        <x:f>IF(F56=0,IF(E56&gt;0,"No recent demand","No demand / no stock"),IF(E56&lt;=I56,"Order now",IF(L56&lt;='Assumptions'!$B$8,"Review soon","Sufficient stock")))</x:f>
        <x:v>Order now</x:v>
      </x:c>
      <x:c r="N56" s="299" t="n">
        <x:f>K56*H56</x:f>
        <x:v>26.3994</x:v>
      </x:c>
    </x:row>
    <x:row r="57" ht="16.5" customHeight="1">
      <x:c r="A57" s="278" t="str">
        <x:v>SKU0861</x:v>
      </x:c>
      <x:c r="B57" s="279" t="str">
        <x:v>Product 0861</x:v>
      </x:c>
      <x:c r="C57" s="279" t="str">
        <x:v>Store B</x:v>
      </x:c>
      <x:c r="D57" s="279" t="str">
        <x:v>Supplier 69</x:v>
      </x:c>
      <x:c r="E57" s="280" t="n">
        <x:v>0</x:v>
      </x:c>
      <x:c r="F57" s="280" t="n">
        <x:v>9.5109</x:v>
      </x:c>
      <x:c r="G57" s="281" t="n">
        <x:v>61.752</x:v>
      </x:c>
      <x:c r="H57" s="281" t="n">
        <x:v>0.2847</x:v>
      </x:c>
      <x:c r="I57" s="281" t="n">
        <x:f>F57*'Assumptions'!$B$7*(1+'Assumptions'!$B$9)</x:f>
        <x:v>22.826159999999998</x:v>
      </x:c>
      <x:c r="J57" s="281" t="n">
        <x:f>F57*('Assumptions'!$B$7+'Assumptions'!$B$8)*(1+'Assumptions'!$B$9)</x:f>
        <x:v>68.47847999999999</x:v>
      </x:c>
      <x:c r="K57" s="296" t="n">
        <x:f>MAX(0,ROUNDUP(J57-E57,0))</x:f>
        <x:v>69</x:v>
      </x:c>
      <x:c r="L57" s="298" t="n">
        <x:f>IF(F57=0,"",E57/F57)</x:f>
        <x:v>0</x:v>
      </x:c>
      <x:c r="M57" s="279" t="str">
        <x:f>IF(F57=0,IF(E57&gt;0,"No recent demand","No demand / no stock"),IF(E57&lt;=I57,"Order now",IF(L57&lt;='Assumptions'!$B$8,"Review soon","Sufficient stock")))</x:f>
        <x:v>Order now</x:v>
      </x:c>
      <x:c r="N57" s="300" t="n">
        <x:f>K57*H57</x:f>
        <x:v>19.6443</x:v>
      </x:c>
    </x:row>
    <x:row r="58" ht="16.5" customHeight="1">
      <x:c r="A58" s="290" t="str">
        <x:v>SKU0839</x:v>
      </x:c>
      <x:c r="B58" s="291" t="str">
        <x:v>Product 0839</x:v>
      </x:c>
      <x:c r="C58" s="291" t="str">
        <x:v>Store A</x:v>
      </x:c>
      <x:c r="D58" s="291" t="str">
        <x:v>Supplier 02</x:v>
      </x:c>
      <x:c r="E58" s="292" t="n">
        <x:v>135</x:v>
      </x:c>
      <x:c r="F58" s="292" t="n">
        <x:v>9.3587</x:v>
      </x:c>
      <x:c r="G58" s="293" t="n">
        <x:v>29.1579</x:v>
      </x:c>
      <x:c r="H58" s="293" t="n">
        <x:v>0.093</x:v>
      </x:c>
      <x:c r="I58" s="293" t="n">
        <x:f>F58*'Assumptions'!$B$7*(1+'Assumptions'!$B$9)</x:f>
        <x:v>22.46088</x:v>
      </x:c>
      <x:c r="J58" s="293" t="n">
        <x:f>F58*('Assumptions'!$B$7+'Assumptions'!$B$8)*(1+'Assumptions'!$B$9)</x:f>
        <x:v>67.38264000000001</x:v>
      </x:c>
      <x:c r="K58" s="295" t="n">
        <x:f>MAX(0,ROUNDUP(J58-E58,0))</x:f>
        <x:v>0</x:v>
      </x:c>
      <x:c r="L58" s="297" t="n">
        <x:f>IF(F58=0,"",E58/F58)</x:f>
        <x:v>14.425080406466709</x:v>
      </x:c>
      <x:c r="M58" s="291" t="str">
        <x:f>IF(F58=0,IF(E58&gt;0,"No recent demand","No demand / no stock"),IF(E58&lt;=I58,"Order now",IF(L58&lt;='Assumptions'!$B$8,"Review soon","Sufficient stock")))</x:f>
        <x:v>Sufficient stock</x:v>
      </x:c>
      <x:c r="N58" s="299" t="n">
        <x:f>K58*H58</x:f>
        <x:v>0</x:v>
      </x:c>
    </x:row>
    <x:row r="59" ht="16.5" customHeight="1">
      <x:c r="A59" s="278" t="str">
        <x:v>SKU0863</x:v>
      </x:c>
      <x:c r="B59" s="279" t="str">
        <x:v>Product 0863</x:v>
      </x:c>
      <x:c r="C59" s="279" t="str">
        <x:v>Store C</x:v>
      </x:c>
      <x:c r="D59" s="279" t="str">
        <x:v>Supplier 69</x:v>
      </x:c>
      <x:c r="E59" s="280" t="n">
        <x:v>2</x:v>
      </x:c>
      <x:c r="F59" s="280" t="n">
        <x:v>9.2826</x:v>
      </x:c>
      <x:c r="G59" s="281" t="n">
        <x:v>64.242</x:v>
      </x:c>
      <x:c r="H59" s="281" t="n">
        <x:v>0.4316</x:v>
      </x:c>
      <x:c r="I59" s="281" t="n">
        <x:f>F59*'Assumptions'!$B$7*(1+'Assumptions'!$B$9)</x:f>
        <x:v>22.27824</x:v>
      </x:c>
      <x:c r="J59" s="281" t="n">
        <x:f>F59*('Assumptions'!$B$7+'Assumptions'!$B$8)*(1+'Assumptions'!$B$9)</x:f>
        <x:v>66.83471999999999</x:v>
      </x:c>
      <x:c r="K59" s="296" t="n">
        <x:f>MAX(0,ROUNDUP(J59-E59,0))</x:f>
        <x:v>65</x:v>
      </x:c>
      <x:c r="L59" s="298" t="n">
        <x:f>IF(F59=0,"",E59/F59)</x:f>
        <x:v>0.2154568763062073</x:v>
      </x:c>
      <x:c r="M59" s="279" t="str">
        <x:f>IF(F59=0,IF(E59&gt;0,"No recent demand","No demand / no stock"),IF(E59&lt;=I59,"Order now",IF(L59&lt;='Assumptions'!$B$8,"Review soon","Sufficient stock")))</x:f>
        <x:v>Order now</x:v>
      </x:c>
      <x:c r="N59" s="300" t="n">
        <x:f>K59*H59</x:f>
        <x:v>28.054</x:v>
      </x:c>
    </x:row>
    <x:row r="60" ht="16.5" customHeight="1">
      <x:c r="A60" s="290" t="str">
        <x:v>SKU1744</x:v>
      </x:c>
      <x:c r="B60" s="291" t="str">
        <x:v>Product 1744</x:v>
      </x:c>
      <x:c r="C60" s="291" t="str">
        <x:v>Store C</x:v>
      </x:c>
      <x:c r="D60" s="291" t="str">
        <x:v>Multiple suppliers</x:v>
      </x:c>
      <x:c r="E60" s="292" t="n">
        <x:v>78</x:v>
      </x:c>
      <x:c r="F60" s="292" t="n">
        <x:v>9.2826</x:v>
      </x:c>
      <x:c r="G60" s="293" t="n">
        <x:v>10.126</x:v>
      </x:c>
      <x:c r="H60" s="293" t="n">
        <x:v>0.083</x:v>
      </x:c>
      <x:c r="I60" s="293" t="n">
        <x:f>F60*'Assumptions'!$B$7*(1+'Assumptions'!$B$9)</x:f>
        <x:v>22.27824</x:v>
      </x:c>
      <x:c r="J60" s="293" t="n">
        <x:f>F60*('Assumptions'!$B$7+'Assumptions'!$B$8)*(1+'Assumptions'!$B$9)</x:f>
        <x:v>66.83471999999999</x:v>
      </x:c>
      <x:c r="K60" s="295" t="n">
        <x:f>MAX(0,ROUNDUP(J60-E60,0))</x:f>
        <x:v>0</x:v>
      </x:c>
      <x:c r="L60" s="297" t="n">
        <x:f>IF(F60=0,"",E60/F60)</x:f>
        <x:v>8.402818175942086</x:v>
      </x:c>
      <x:c r="M60" s="291" t="str">
        <x:f>IF(F60=0,IF(E60&gt;0,"No recent demand","No demand / no stock"),IF(E60&lt;=I60,"Order now",IF(L60&lt;='Assumptions'!$B$8,"Review soon","Sufficient stock")))</x:f>
        <x:v>Sufficient stock</x:v>
      </x:c>
      <x:c r="N60" s="299" t="n">
        <x:f>K60*H60</x:f>
        <x:v>0</x:v>
      </x:c>
    </x:row>
    <x:row r="61" ht="16.5" customHeight="1">
      <x:c r="A61" s="278" t="str">
        <x:v>SKU1502</x:v>
      </x:c>
      <x:c r="B61" s="279" t="str">
        <x:v>Product 1502</x:v>
      </x:c>
      <x:c r="C61" s="279" t="str">
        <x:v>Store C</x:v>
      </x:c>
      <x:c r="D61" s="279" t="str">
        <x:v>Multiple suppliers</x:v>
      </x:c>
      <x:c r="E61" s="280" t="n">
        <x:v>67</x:v>
      </x:c>
      <x:c r="F61" s="280" t="n">
        <x:v>9.1304</x:v>
      </x:c>
      <x:c r="G61" s="281" t="n">
        <x:v>98.853</x:v>
      </x:c>
      <x:c r="H61" s="281" t="n">
        <x:v>0.2303</x:v>
      </x:c>
      <x:c r="I61" s="281" t="n">
        <x:f>F61*'Assumptions'!$B$7*(1+'Assumptions'!$B$9)</x:f>
        <x:v>21.912959999999998</x:v>
      </x:c>
      <x:c r="J61" s="281" t="n">
        <x:f>F61*('Assumptions'!$B$7+'Assumptions'!$B$8)*(1+'Assumptions'!$B$9)</x:f>
        <x:v>65.73888</x:v>
      </x:c>
      <x:c r="K61" s="296" t="n">
        <x:f>MAX(0,ROUNDUP(J61-E61,0))</x:f>
        <x:v>0</x:v>
      </x:c>
      <x:c r="L61" s="298" t="n">
        <x:f>IF(F61=0,"",E61/F61)</x:f>
        <x:v>7.338123192850259</x:v>
      </x:c>
      <x:c r="M61" s="279" t="str">
        <x:f>IF(F61=0,IF(E61&gt;0,"No recent demand","No demand / no stock"),IF(E61&lt;=I61,"Order now",IF(L61&lt;='Assumptions'!$B$8,"Review soon","Sufficient stock")))</x:f>
        <x:v>Sufficient stock</x:v>
      </x:c>
      <x:c r="N61" s="300" t="n">
        <x:f>K61*H61</x:f>
        <x:v>0</x:v>
      </x:c>
    </x:row>
    <x:row r="62" ht="16.5" customHeight="1">
      <x:c r="A62" s="290" t="str">
        <x:v>SKU1416</x:v>
      </x:c>
      <x:c r="B62" s="291" t="str">
        <x:v>Product 1416</x:v>
      </x:c>
      <x:c r="C62" s="291" t="str">
        <x:v>Store C</x:v>
      </x:c>
      <x:c r="D62" s="291" t="str">
        <x:v>Multiple suppliers</x:v>
      </x:c>
      <x:c r="E62" s="292" t="n">
        <x:v>0</x:v>
      </x:c>
      <x:c r="F62" s="292" t="n">
        <x:v>9.0543</x:v>
      </x:c>
      <x:c r="G62" s="293" t="n">
        <x:v>127.9694</x:v>
      </x:c>
      <x:c r="H62" s="293" t="n">
        <x:v>0.4778</x:v>
      </x:c>
      <x:c r="I62" s="293" t="n">
        <x:f>F62*'Assumptions'!$B$7*(1+'Assumptions'!$B$9)</x:f>
        <x:v>21.73032</x:v>
      </x:c>
      <x:c r="J62" s="293" t="n">
        <x:f>F62*('Assumptions'!$B$7+'Assumptions'!$B$8)*(1+'Assumptions'!$B$9)</x:f>
        <x:v>65.19096</x:v>
      </x:c>
      <x:c r="K62" s="295" t="n">
        <x:f>MAX(0,ROUNDUP(J62-E62,0))</x:f>
        <x:v>66</x:v>
      </x:c>
      <x:c r="L62" s="297" t="n">
        <x:f>IF(F62=0,"",E62/F62)</x:f>
        <x:v>0</x:v>
      </x:c>
      <x:c r="M62" s="291" t="str">
        <x:f>IF(F62=0,IF(E62&gt;0,"No recent demand","No demand / no stock"),IF(E62&lt;=I62,"Order now",IF(L62&lt;='Assumptions'!$B$8,"Review soon","Sufficient stock")))</x:f>
        <x:v>Order now</x:v>
      </x:c>
      <x:c r="N62" s="299" t="n">
        <x:f>K62*H62</x:f>
        <x:v>31.5348</x:v>
      </x:c>
    </x:row>
    <x:row r="63" ht="16.5" customHeight="1">
      <x:c r="A63" s="278" t="str">
        <x:v>SKU1743</x:v>
      </x:c>
      <x:c r="B63" s="279" t="str">
        <x:v>Product 1743</x:v>
      </x:c>
      <x:c r="C63" s="279" t="str">
        <x:v>Store C</x:v>
      </x:c>
      <x:c r="D63" s="279" t="str">
        <x:v>Supplier 43</x:v>
      </x:c>
      <x:c r="E63" s="280" t="n">
        <x:v>0</x:v>
      </x:c>
      <x:c r="F63" s="280" t="n">
        <x:v>8.9783</x:v>
      </x:c>
      <x:c r="G63" s="281" t="n">
        <x:v>9.794</x:v>
      </x:c>
      <x:c r="H63" s="281" t="n">
        <x:v>0.083</x:v>
      </x:c>
      <x:c r="I63" s="281" t="n">
        <x:f>F63*'Assumptions'!$B$7*(1+'Assumptions'!$B$9)</x:f>
        <x:v>21.54792</x:v>
      </x:c>
      <x:c r="J63" s="281" t="n">
        <x:f>F63*('Assumptions'!$B$7+'Assumptions'!$B$8)*(1+'Assumptions'!$B$9)</x:f>
        <x:v>64.64376</x:v>
      </x:c>
      <x:c r="K63" s="296" t="n">
        <x:f>MAX(0,ROUNDUP(J63-E63,0))</x:f>
        <x:v>65</x:v>
      </x:c>
      <x:c r="L63" s="298" t="n">
        <x:f>IF(F63=0,"",E63/F63)</x:f>
        <x:v>0</x:v>
      </x:c>
      <x:c r="M63" s="279" t="str">
        <x:f>IF(F63=0,IF(E63&gt;0,"No recent demand","No demand / no stock"),IF(E63&lt;=I63,"Order now",IF(L63&lt;='Assumptions'!$B$8,"Review soon","Sufficient stock")))</x:f>
        <x:v>Order now</x:v>
      </x:c>
      <x:c r="N63" s="300" t="n">
        <x:f>K63*H63</x:f>
        <x:v>5.3950000000000005</x:v>
      </x:c>
    </x:row>
    <x:row r="64" ht="16.5" customHeight="1">
      <x:c r="A64" s="290" t="str">
        <x:v>SKU1744</x:v>
      </x:c>
      <x:c r="B64" s="291" t="str">
        <x:v>Product 1744</x:v>
      </x:c>
      <x:c r="C64" s="291" t="str">
        <x:v>Store B</x:v>
      </x:c>
      <x:c r="D64" s="291" t="str">
        <x:v>Multiple suppliers</x:v>
      </x:c>
      <x:c r="E64" s="292" t="n">
        <x:v>87</x:v>
      </x:c>
      <x:c r="F64" s="292" t="n">
        <x:v>8.9783</x:v>
      </x:c>
      <x:c r="G64" s="293" t="n">
        <x:v>9.7608</x:v>
      </x:c>
      <x:c r="H64" s="293" t="n">
        <x:v>0.083</x:v>
      </x:c>
      <x:c r="I64" s="293" t="n">
        <x:f>F64*'Assumptions'!$B$7*(1+'Assumptions'!$B$9)</x:f>
        <x:v>21.54792</x:v>
      </x:c>
      <x:c r="J64" s="293" t="n">
        <x:f>F64*('Assumptions'!$B$7+'Assumptions'!$B$8)*(1+'Assumptions'!$B$9)</x:f>
        <x:v>64.64376</x:v>
      </x:c>
      <x:c r="K64" s="295" t="n">
        <x:f>MAX(0,ROUNDUP(J64-E64,0))</x:f>
        <x:v>0</x:v>
      </x:c>
      <x:c r="L64" s="297" t="n">
        <x:f>IF(F64=0,"",E64/F64)</x:f>
        <x:v>9.690030406647137</x:v>
      </x:c>
      <x:c r="M64" s="291" t="str">
        <x:f>IF(F64=0,IF(E64&gt;0,"No recent demand","No demand / no stock"),IF(E64&lt;=I64,"Order now",IF(L64&lt;='Assumptions'!$B$8,"Review soon","Sufficient stock")))</x:f>
        <x:v>Sufficient stock</x:v>
      </x:c>
      <x:c r="N64" s="299" t="n">
        <x:f>K64*H64</x:f>
        <x:v>0</x:v>
      </x:c>
    </x:row>
    <x:row r="65" ht="16.5" customHeight="1">
      <x:c r="A65" s="278" t="str">
        <x:v>SKU1384</x:v>
      </x:c>
      <x:c r="B65" s="279" t="str">
        <x:v>Product 1384</x:v>
      </x:c>
      <x:c r="C65" s="279" t="str">
        <x:v>Store C</x:v>
      </x:c>
      <x:c r="D65" s="279" t="str">
        <x:v>Multiple suppliers</x:v>
      </x:c>
      <x:c r="E65" s="280" t="n">
        <x:v>6</x:v>
      </x:c>
      <x:c r="F65" s="280" t="n">
        <x:v>8.9022</x:v>
      </x:c>
      <x:c r="G65" s="281" t="n">
        <x:v>115.8348</x:v>
      </x:c>
      <x:c r="H65" s="281" t="n">
        <x:v>0.4897</x:v>
      </x:c>
      <x:c r="I65" s="281" t="n">
        <x:f>F65*'Assumptions'!$B$7*(1+'Assumptions'!$B$9)</x:f>
        <x:v>21.365280000000002</x:v>
      </x:c>
      <x:c r="J65" s="281" t="n">
        <x:f>F65*('Assumptions'!$B$7+'Assumptions'!$B$8)*(1+'Assumptions'!$B$9)</x:f>
        <x:v>64.09584</x:v>
      </x:c>
      <x:c r="K65" s="296" t="n">
        <x:f>MAX(0,ROUNDUP(J65-E65,0))</x:f>
        <x:v>59</x:v>
      </x:c>
      <x:c r="L65" s="298" t="n">
        <x:f>IF(F65=0,"",E65/F65)</x:f>
        <x:v>0.6739906989283547</x:v>
      </x:c>
      <x:c r="M65" s="279" t="str">
        <x:f>IF(F65=0,IF(E65&gt;0,"No recent demand","No demand / no stock"),IF(E65&lt;=I65,"Order now",IF(L65&lt;='Assumptions'!$B$8,"Review soon","Sufficient stock")))</x:f>
        <x:v>Order now</x:v>
      </x:c>
      <x:c r="N65" s="300" t="n">
        <x:f>K65*H65</x:f>
        <x:v>28.892300000000002</x:v>
      </x:c>
    </x:row>
    <x:row r="66" ht="16.5" customHeight="1">
      <x:c r="A66" s="290" t="str">
        <x:v>SKU0232</x:v>
      </x:c>
      <x:c r="B66" s="291" t="str">
        <x:v>Product 0232</x:v>
      </x:c>
      <x:c r="C66" s="291" t="str">
        <x:v>Store C</x:v>
      </x:c>
      <x:c r="D66" s="291" t="str">
        <x:v>Supplier 02</x:v>
      </x:c>
      <x:c r="E66" s="292" t="n">
        <x:v>15</x:v>
      </x:c>
      <x:c r="F66" s="292" t="n">
        <x:v>8.8261</x:v>
      </x:c>
      <x:c r="G66" s="293" t="n">
        <x:v>60.424</x:v>
      </x:c>
      <x:c r="H66" s="293" t="n">
        <x:v>0.1328</x:v>
      </x:c>
      <x:c r="I66" s="293" t="n">
        <x:f>F66*'Assumptions'!$B$7*(1+'Assumptions'!$B$9)</x:f>
        <x:v>21.18264</x:v>
      </x:c>
      <x:c r="J66" s="293" t="n">
        <x:f>F66*('Assumptions'!$B$7+'Assumptions'!$B$8)*(1+'Assumptions'!$B$9)</x:f>
        <x:v>63.54792</x:v>
      </x:c>
      <x:c r="K66" s="295" t="n">
        <x:f>MAX(0,ROUNDUP(J66-E66,0))</x:f>
        <x:v>49</x:v>
      </x:c>
      <x:c r="L66" s="297" t="n">
        <x:f>IF(F66=0,"",E66/F66)</x:f>
        <x:v>1.6995048775789987</x:v>
      </x:c>
      <x:c r="M66" s="291" t="str">
        <x:f>IF(F66=0,IF(E66&gt;0,"No recent demand","No demand / no stock"),IF(E66&lt;=I66,"Order now",IF(L66&lt;='Assumptions'!$B$8,"Review soon","Sufficient stock")))</x:f>
        <x:v>Order now</x:v>
      </x:c>
      <x:c r="N66" s="299" t="n">
        <x:f>K66*H66</x:f>
        <x:v>6.5072</x:v>
      </x:c>
    </x:row>
    <x:row r="67" ht="16.5" customHeight="1">
      <x:c r="A67" s="278" t="str">
        <x:v>SKU1239</x:v>
      </x:c>
      <x:c r="B67" s="279" t="str">
        <x:v>Product 1239</x:v>
      </x:c>
      <x:c r="C67" s="279" t="str">
        <x:v>Store C</x:v>
      </x:c>
      <x:c r="D67" s="279" t="str">
        <x:v>Supplier 04</x:v>
      </x:c>
      <x:c r="E67" s="280" t="n">
        <x:v>0</x:v>
      </x:c>
      <x:c r="F67" s="280" t="n">
        <x:v>8.6739</x:v>
      </x:c>
      <x:c r="G67" s="281" t="n">
        <x:v>7.553</x:v>
      </x:c>
      <x:c r="H67" s="281" t="n">
        <x:v>0.4176</x:v>
      </x:c>
      <x:c r="I67" s="281" t="n">
        <x:f>F67*'Assumptions'!$B$7*(1+'Assumptions'!$B$9)</x:f>
        <x:v>20.817359999999997</x:v>
      </x:c>
      <x:c r="J67" s="281" t="n">
        <x:f>F67*('Assumptions'!$B$7+'Assumptions'!$B$8)*(1+'Assumptions'!$B$9)</x:f>
        <x:v>62.452079999999995</x:v>
      </x:c>
      <x:c r="K67" s="296" t="n">
        <x:f>MAX(0,ROUNDUP(J67-E67,0))</x:f>
        <x:v>63</x:v>
      </x:c>
      <x:c r="L67" s="298" t="n">
        <x:f>IF(F67=0,"",E67/F67)</x:f>
        <x:v>0</x:v>
      </x:c>
      <x:c r="M67" s="279" t="str">
        <x:f>IF(F67=0,IF(E67&gt;0,"No recent demand","No demand / no stock"),IF(E67&lt;=I67,"Order now",IF(L67&lt;='Assumptions'!$B$8,"Review soon","Sufficient stock")))</x:f>
        <x:v>Order now</x:v>
      </x:c>
      <x:c r="N67" s="300" t="n">
        <x:f>K67*H67</x:f>
        <x:v>26.3088</x:v>
      </x:c>
    </x:row>
    <x:row r="68" ht="16.5" customHeight="1">
      <x:c r="A68" s="290" t="str">
        <x:v>SKU0883</x:v>
      </x:c>
      <x:c r="B68" s="291" t="str">
        <x:v>Product 0883</x:v>
      </x:c>
      <x:c r="C68" s="291" t="str">
        <x:v>Store A</x:v>
      </x:c>
      <x:c r="D68" s="291" t="str">
        <x:v>Multiple suppliers</x:v>
      </x:c>
      <x:c r="E68" s="292" t="n">
        <x:v>345</x:v>
      </x:c>
      <x:c r="F68" s="292" t="n">
        <x:v>8.5978</x:v>
      </x:c>
      <x:c r="G68" s="293" t="n">
        <x:v>17.596</x:v>
      </x:c>
      <x:c r="H68" s="293" t="n">
        <x:v>0.0706</x:v>
      </x:c>
      <x:c r="I68" s="293" t="n">
        <x:f>F68*'Assumptions'!$B$7*(1+'Assumptions'!$B$9)</x:f>
        <x:v>20.634719999999998</x:v>
      </x:c>
      <x:c r="J68" s="293" t="n">
        <x:f>F68*('Assumptions'!$B$7+'Assumptions'!$B$8)*(1+'Assumptions'!$B$9)</x:f>
        <x:v>61.90415999999999</x:v>
      </x:c>
      <x:c r="K68" s="295" t="n">
        <x:f>MAX(0,ROUNDUP(J68-E68,0))</x:f>
        <x:v>0</x:v>
      </x:c>
      <x:c r="L68" s="297" t="n">
        <x:f>IF(F68=0,"",E68/F68)</x:f>
        <x:v>40.12654399962781</x:v>
      </x:c>
      <x:c r="M68" s="291" t="str">
        <x:f>IF(F68=0,IF(E68&gt;0,"No recent demand","No demand / no stock"),IF(E68&lt;=I68,"Order now",IF(L68&lt;='Assumptions'!$B$8,"Review soon","Sufficient stock")))</x:f>
        <x:v>Sufficient stock</x:v>
      </x:c>
      <x:c r="N68" s="299" t="n">
        <x:f>K68*H68</x:f>
        <x:v>0</x:v>
      </x:c>
    </x:row>
    <x:row r="69" ht="16.5" customHeight="1">
      <x:c r="A69" s="278" t="str">
        <x:v>SKU1744</x:v>
      </x:c>
      <x:c r="B69" s="279" t="str">
        <x:v>Product 1744</x:v>
      </x:c>
      <x:c r="C69" s="279" t="str">
        <x:v>Store A</x:v>
      </x:c>
      <x:c r="D69" s="279" t="str">
        <x:v>Multiple suppliers</x:v>
      </x:c>
      <x:c r="E69" s="280" t="n">
        <x:v>97</x:v>
      </x:c>
      <x:c r="F69" s="280" t="n">
        <x:v>8.5978</x:v>
      </x:c>
      <x:c r="G69" s="281" t="n">
        <x:v>9.379</x:v>
      </x:c>
      <x:c r="H69" s="281" t="n">
        <x:v>0.083</x:v>
      </x:c>
      <x:c r="I69" s="281" t="n">
        <x:f>F69*'Assumptions'!$B$7*(1+'Assumptions'!$B$9)</x:f>
        <x:v>20.634719999999998</x:v>
      </x:c>
      <x:c r="J69" s="281" t="n">
        <x:f>F69*('Assumptions'!$B$7+'Assumptions'!$B$8)*(1+'Assumptions'!$B$9)</x:f>
        <x:v>61.90415999999999</x:v>
      </x:c>
      <x:c r="K69" s="296" t="n">
        <x:f>MAX(0,ROUNDUP(J69-E69,0))</x:f>
        <x:v>0</x:v>
      </x:c>
      <x:c r="L69" s="298" t="n">
        <x:f>IF(F69=0,"",E69/F69)</x:f>
        <x:v>11.28195584917072</x:v>
      </x:c>
      <x:c r="M69" s="279" t="str">
        <x:f>IF(F69=0,IF(E69&gt;0,"No recent demand","No demand / no stock"),IF(E69&lt;=I69,"Order now",IF(L69&lt;='Assumptions'!$B$8,"Review soon","Sufficient stock")))</x:f>
        <x:v>Sufficient stock</x:v>
      </x:c>
      <x:c r="N69" s="300" t="n">
        <x:f>K69*H69</x:f>
        <x:v>0</x:v>
      </x:c>
    </x:row>
    <x:row r="70" ht="16.5" customHeight="1">
      <x:c r="A70" s="290" t="str">
        <x:v>SKU0681</x:v>
      </x:c>
      <x:c r="B70" s="291" t="str">
        <x:v>Product 0681</x:v>
      </x:c>
      <x:c r="C70" s="291" t="str">
        <x:v>Store B</x:v>
      </x:c>
      <x:c r="D70" s="291" t="str">
        <x:v>Supplier 02</x:v>
      </x:c>
      <x:c r="E70" s="292" t="n">
        <x:v>3</x:v>
      </x:c>
      <x:c r="F70" s="292" t="n">
        <x:v>8.5217</x:v>
      </x:c>
      <x:c r="G70" s="293" t="n">
        <x:v>127.7038</x:v>
      </x:c>
      <x:c r="H70" s="293" t="n">
        <x:v>0.3826</x:v>
      </x:c>
      <x:c r="I70" s="293" t="n">
        <x:f>F70*'Assumptions'!$B$7*(1+'Assumptions'!$B$9)</x:f>
        <x:v>20.45208</x:v>
      </x:c>
      <x:c r="J70" s="293" t="n">
        <x:f>F70*('Assumptions'!$B$7+'Assumptions'!$B$8)*(1+'Assumptions'!$B$9)</x:f>
        <x:v>61.35623999999999</x:v>
      </x:c>
      <x:c r="K70" s="295" t="n">
        <x:f>MAX(0,ROUNDUP(J70-E70,0))</x:f>
        <x:v>59</x:v>
      </x:c>
      <x:c r="L70" s="297" t="n">
        <x:f>IF(F70=0,"",E70/F70)</x:f>
        <x:v>0.352042432847906</x:v>
      </x:c>
      <x:c r="M70" s="291" t="str">
        <x:f>IF(F70=0,IF(E70&gt;0,"No recent demand","No demand / no stock"),IF(E70&lt;=I70,"Order now",IF(L70&lt;='Assumptions'!$B$8,"Review soon","Sufficient stock")))</x:f>
        <x:v>Order now</x:v>
      </x:c>
      <x:c r="N70" s="299" t="n">
        <x:f>K70*H70</x:f>
        <x:v>22.5734</x:v>
      </x:c>
    </x:row>
    <x:row r="71" ht="16.5" customHeight="1">
      <x:c r="A71" s="278" t="str">
        <x:v>SKU0655</x:v>
      </x:c>
      <x:c r="B71" s="279" t="str">
        <x:v>Product 0655</x:v>
      </x:c>
      <x:c r="C71" s="279" t="str">
        <x:v>Store B</x:v>
      </x:c>
      <x:c r="D71" s="279" t="str">
        <x:v>Supplier 02</x:v>
      </x:c>
      <x:c r="E71" s="280" t="n">
        <x:v>34</x:v>
      </x:c>
      <x:c r="F71" s="280" t="n">
        <x:v>8.4457</x:v>
      </x:c>
      <x:c r="G71" s="281" t="n">
        <x:v>173.304</x:v>
      </x:c>
      <x:c r="H71" s="281" t="n">
        <x:v>0.4324</x:v>
      </x:c>
      <x:c r="I71" s="281" t="n">
        <x:f>F71*'Assumptions'!$B$7*(1+'Assumptions'!$B$9)</x:f>
        <x:v>20.26968</x:v>
      </x:c>
      <x:c r="J71" s="281" t="n">
        <x:f>F71*('Assumptions'!$B$7+'Assumptions'!$B$8)*(1+'Assumptions'!$B$9)</x:f>
        <x:v>60.809039999999996</x:v>
      </x:c>
      <x:c r="K71" s="296" t="n">
        <x:f>MAX(0,ROUNDUP(J71-E71,0))</x:f>
        <x:v>27</x:v>
      </x:c>
      <x:c r="L71" s="298" t="n">
        <x:f>IF(F71=0,"",E71/F71)</x:f>
        <x:v>4.025717228885705</x:v>
      </x:c>
      <x:c r="M71" s="279" t="str">
        <x:f>IF(F71=0,IF(E71&gt;0,"No recent demand","No demand / no stock"),IF(E71&lt;=I71,"Order now",IF(L71&lt;='Assumptions'!$B$8,"Review soon","Sufficient stock")))</x:f>
        <x:v>Sufficient stock</x:v>
      </x:c>
      <x:c r="N71" s="300" t="n">
        <x:f>K71*H71</x:f>
        <x:v>11.6748</x:v>
      </x:c>
    </x:row>
    <x:row r="72" ht="16.5" customHeight="1">
      <x:c r="A72" s="290" t="str">
        <x:v>SKU1328</x:v>
      </x:c>
      <x:c r="B72" s="291" t="str">
        <x:v>Product 1328</x:v>
      </x:c>
      <x:c r="C72" s="291" t="str">
        <x:v>Store C</x:v>
      </x:c>
      <x:c r="D72" s="291" t="str">
        <x:v>Supplier 03</x:v>
      </x:c>
      <x:c r="E72" s="292" t="n">
        <x:v>0</x:v>
      </x:c>
      <x:c r="F72" s="292" t="n">
        <x:v>8.3696</x:v>
      </x:c>
      <x:c r="G72" s="293" t="n">
        <x:v>152.6702</x:v>
      </x:c>
      <x:c r="H72" s="293" t="n">
        <x:v>0</x:v>
      </x:c>
      <x:c r="I72" s="293" t="n">
        <x:f>F72*'Assumptions'!$B$7*(1+'Assumptions'!$B$9)</x:f>
        <x:v>20.08704</x:v>
      </x:c>
      <x:c r="J72" s="293" t="n">
        <x:f>F72*('Assumptions'!$B$7+'Assumptions'!$B$8)*(1+'Assumptions'!$B$9)</x:f>
        <x:v>60.261120000000005</x:v>
      </x:c>
      <x:c r="K72" s="295" t="n">
        <x:f>MAX(0,ROUNDUP(J72-E72,0))</x:f>
        <x:v>61</x:v>
      </x:c>
      <x:c r="L72" s="297" t="n">
        <x:f>IF(F72=0,"",E72/F72)</x:f>
        <x:v>0</x:v>
      </x:c>
      <x:c r="M72" s="291" t="str">
        <x:f>IF(F72=0,IF(E72&gt;0,"No recent demand","No demand / no stock"),IF(E72&lt;=I72,"Order now",IF(L72&lt;='Assumptions'!$B$8,"Review soon","Sufficient stock")))</x:f>
        <x:v>Order now</x:v>
      </x:c>
      <x:c r="N72" s="299" t="n">
        <x:f>K72*H72</x:f>
        <x:v>0</x:v>
      </x:c>
    </x:row>
    <x:row r="73" ht="16.5" customHeight="1">
      <x:c r="A73" s="278" t="str">
        <x:v>SKU0248</x:v>
      </x:c>
      <x:c r="B73" s="279" t="str">
        <x:v>Product 0248</x:v>
      </x:c>
      <x:c r="C73" s="279" t="str">
        <x:v>Store C</x:v>
      </x:c>
      <x:c r="D73" s="279" t="str">
        <x:v>Multiple suppliers</x:v>
      </x:c>
      <x:c r="E73" s="280" t="n">
        <x:v>33</x:v>
      </x:c>
      <x:c r="F73" s="280" t="n">
        <x:v>8.2174</x:v>
      </x:c>
      <x:c r="G73" s="281" t="n">
        <x:v>169.2121</x:v>
      </x:c>
      <x:c r="H73" s="281" t="n">
        <x:v>0.679</x:v>
      </x:c>
      <x:c r="I73" s="281" t="n">
        <x:f>F73*'Assumptions'!$B$7*(1+'Assumptions'!$B$9)</x:f>
        <x:v>19.72176</x:v>
      </x:c>
      <x:c r="J73" s="281" t="n">
        <x:f>F73*('Assumptions'!$B$7+'Assumptions'!$B$8)*(1+'Assumptions'!$B$9)</x:f>
        <x:v>59.165279999999996</x:v>
      </x:c>
      <x:c r="K73" s="296" t="n">
        <x:f>MAX(0,ROUNDUP(J73-E73,0))</x:f>
        <x:v>27</x:v>
      </x:c>
      <x:c r="L73" s="298" t="n">
        <x:f>IF(F73=0,"",E73/F73)</x:f>
        <x:v>4.015868766276438</x:v>
      </x:c>
      <x:c r="M73" s="279" t="str">
        <x:f>IF(F73=0,IF(E73&gt;0,"No recent demand","No demand / no stock"),IF(E73&lt;=I73,"Order now",IF(L73&lt;='Assumptions'!$B$8,"Review soon","Sufficient stock")))</x:f>
        <x:v>Sufficient stock</x:v>
      </x:c>
      <x:c r="N73" s="300" t="n">
        <x:f>K73*H73</x:f>
        <x:v>18.333000000000002</x:v>
      </x:c>
    </x:row>
    <x:row r="74" ht="16.5" customHeight="1">
      <x:c r="A74" s="290" t="str">
        <x:v>SKU0681</x:v>
      </x:c>
      <x:c r="B74" s="291" t="str">
        <x:v>Product 0681</x:v>
      </x:c>
      <x:c r="C74" s="291" t="str">
        <x:v>Store A</x:v>
      </x:c>
      <x:c r="D74" s="291" t="str">
        <x:v>Supplier 02</x:v>
      </x:c>
      <x:c r="E74" s="292" t="n">
        <x:v>0</x:v>
      </x:c>
      <x:c r="F74" s="292" t="n">
        <x:v>8.0652</x:v>
      </x:c>
      <x:c r="G74" s="293" t="n">
        <x:v>121.5452</x:v>
      </x:c>
      <x:c r="H74" s="293" t="n">
        <x:v>0.3826</x:v>
      </x:c>
      <x:c r="I74" s="293" t="n">
        <x:f>F74*'Assumptions'!$B$7*(1+'Assumptions'!$B$9)</x:f>
        <x:v>19.35648</x:v>
      </x:c>
      <x:c r="J74" s="293" t="n">
        <x:f>F74*('Assumptions'!$B$7+'Assumptions'!$B$8)*(1+'Assumptions'!$B$9)</x:f>
        <x:v>58.06944</x:v>
      </x:c>
      <x:c r="K74" s="295" t="n">
        <x:f>MAX(0,ROUNDUP(J74-E74,0))</x:f>
        <x:v>59</x:v>
      </x:c>
      <x:c r="L74" s="297" t="n">
        <x:f>IF(F74=0,"",E74/F74)</x:f>
        <x:v>0</x:v>
      </x:c>
      <x:c r="M74" s="291" t="str">
        <x:f>IF(F74=0,IF(E74&gt;0,"No recent demand","No demand / no stock"),IF(E74&lt;=I74,"Order now",IF(L74&lt;='Assumptions'!$B$8,"Review soon","Sufficient stock")))</x:f>
        <x:v>Order now</x:v>
      </x:c>
      <x:c r="N74" s="299" t="n">
        <x:f>K74*H74</x:f>
        <x:v>22.5734</x:v>
      </x:c>
    </x:row>
    <x:row r="75" ht="16.5" customHeight="1">
      <x:c r="A75" s="278" t="str">
        <x:v>SKU0803</x:v>
      </x:c>
      <x:c r="B75" s="279" t="str">
        <x:v>Product 0803</x:v>
      </x:c>
      <x:c r="C75" s="279" t="str">
        <x:v>Store B</x:v>
      </x:c>
      <x:c r="D75" s="279" t="str">
        <x:v>Supplier 66</x:v>
      </x:c>
      <x:c r="E75" s="280" t="n">
        <x:v>0</x:v>
      </x:c>
      <x:c r="F75" s="280" t="n">
        <x:v>7.9891</x:v>
      </x:c>
      <x:c r="G75" s="281" t="n">
        <x:v>137.448</x:v>
      </x:c>
      <x:c r="H75" s="281" t="n">
        <x:v>0.2407</x:v>
      </x:c>
      <x:c r="I75" s="281" t="n">
        <x:f>F75*'Assumptions'!$B$7*(1+'Assumptions'!$B$9)</x:f>
        <x:v>19.17384</x:v>
      </x:c>
      <x:c r="J75" s="281" t="n">
        <x:f>F75*('Assumptions'!$B$7+'Assumptions'!$B$8)*(1+'Assumptions'!$B$9)</x:f>
        <x:v>57.521519999999995</x:v>
      </x:c>
      <x:c r="K75" s="296" t="n">
        <x:f>MAX(0,ROUNDUP(J75-E75,0))</x:f>
        <x:v>58</x:v>
      </x:c>
      <x:c r="L75" s="298" t="n">
        <x:f>IF(F75=0,"",E75/F75)</x:f>
        <x:v>0</x:v>
      </x:c>
      <x:c r="M75" s="279" t="str">
        <x:f>IF(F75=0,IF(E75&gt;0,"No recent demand","No demand / no stock"),IF(E75&lt;=I75,"Order now",IF(L75&lt;='Assumptions'!$B$8,"Review soon","Sufficient stock")))</x:f>
        <x:v>Order now</x:v>
      </x:c>
      <x:c r="N75" s="300" t="n">
        <x:f>K75*H75</x:f>
        <x:v>13.9606</x:v>
      </x:c>
    </x:row>
    <x:row r="76" ht="16.5" customHeight="1">
      <x:c r="A76" s="290" t="str">
        <x:v>SKU1030</x:v>
      </x:c>
      <x:c r="B76" s="291" t="str">
        <x:v>Product 1030</x:v>
      </x:c>
      <x:c r="C76" s="291" t="str">
        <x:v>Store B</x:v>
      </x:c>
      <x:c r="D76" s="291" t="str">
        <x:v>Supplier 69</x:v>
      </x:c>
      <x:c r="E76" s="292" t="n">
        <x:v>0</x:v>
      </x:c>
      <x:c r="F76" s="292" t="n">
        <x:v>7.837</x:v>
      </x:c>
      <x:c r="G76" s="293" t="n">
        <x:v>68.392</x:v>
      </x:c>
      <x:c r="H76" s="293" t="n">
        <x:v>0.4399</x:v>
      </x:c>
      <x:c r="I76" s="293" t="n">
        <x:f>F76*'Assumptions'!$B$7*(1+'Assumptions'!$B$9)</x:f>
        <x:v>18.808799999999998</x:v>
      </x:c>
      <x:c r="J76" s="293" t="n">
        <x:f>F76*('Assumptions'!$B$7+'Assumptions'!$B$8)*(1+'Assumptions'!$B$9)</x:f>
        <x:v>56.426399999999994</x:v>
      </x:c>
      <x:c r="K76" s="295" t="n">
        <x:f>MAX(0,ROUNDUP(J76-E76,0))</x:f>
        <x:v>57</x:v>
      </x:c>
      <x:c r="L76" s="297" t="n">
        <x:f>IF(F76=0,"",E76/F76)</x:f>
        <x:v>0</x:v>
      </x:c>
      <x:c r="M76" s="291" t="str">
        <x:f>IF(F76=0,IF(E76&gt;0,"No recent demand","No demand / no stock"),IF(E76&lt;=I76,"Order now",IF(L76&lt;='Assumptions'!$B$8,"Review soon","Sufficient stock")))</x:f>
        <x:v>Order now</x:v>
      </x:c>
      <x:c r="N76" s="299" t="n">
        <x:f>K76*H76</x:f>
        <x:v>25.0743</x:v>
      </x:c>
    </x:row>
    <x:row r="77" ht="16.5" customHeight="1">
      <x:c r="A77" s="278" t="str">
        <x:v>SKU0438</x:v>
      </x:c>
      <x:c r="B77" s="279" t="str">
        <x:v>Product 0438</x:v>
      </x:c>
      <x:c r="C77" s="279" t="str">
        <x:v>Store C</x:v>
      </x:c>
      <x:c r="D77" s="279" t="str">
        <x:v>Multiple suppliers</x:v>
      </x:c>
      <x:c r="E77" s="280" t="n">
        <x:v>1</x:v>
      </x:c>
      <x:c r="F77" s="280" t="n">
        <x:v>7.6848</x:v>
      </x:c>
      <x:c r="G77" s="281" t="n">
        <x:v>8.383</x:v>
      </x:c>
      <x:c r="H77" s="281" t="n">
        <x:v>0.0265</x:v>
      </x:c>
      <x:c r="I77" s="281" t="n">
        <x:f>F77*'Assumptions'!$B$7*(1+'Assumptions'!$B$9)</x:f>
        <x:v>18.44352</x:v>
      </x:c>
      <x:c r="J77" s="281" t="n">
        <x:f>F77*('Assumptions'!$B$7+'Assumptions'!$B$8)*(1+'Assumptions'!$B$9)</x:f>
        <x:v>55.33056</x:v>
      </x:c>
      <x:c r="K77" s="296" t="n">
        <x:f>MAX(0,ROUNDUP(J77-E77,0))</x:f>
        <x:v>55</x:v>
      </x:c>
      <x:c r="L77" s="298" t="n">
        <x:f>IF(F77=0,"",E77/F77)</x:f>
        <x:v>0.1301270039558609</x:v>
      </x:c>
      <x:c r="M77" s="279" t="str">
        <x:f>IF(F77=0,IF(E77&gt;0,"No recent demand","No demand / no stock"),IF(E77&lt;=I77,"Order now",IF(L77&lt;='Assumptions'!$B$8,"Review soon","Sufficient stock")))</x:f>
        <x:v>Order now</x:v>
      </x:c>
      <x:c r="N77" s="300" t="n">
        <x:f>K77*H77</x:f>
        <x:v>1.4575</x:v>
      </x:c>
    </x:row>
    <x:row r="78" ht="16.5" customHeight="1">
      <x:c r="A78" s="290" t="str">
        <x:v>SKU0655</x:v>
      </x:c>
      <x:c r="B78" s="291" t="str">
        <x:v>Product 0655</x:v>
      </x:c>
      <x:c r="C78" s="291" t="str">
        <x:v>Store A</x:v>
      </x:c>
      <x:c r="D78" s="291" t="str">
        <x:v>Supplier 02</x:v>
      </x:c>
      <x:c r="E78" s="292" t="n">
        <x:v>3</x:v>
      </x:c>
      <x:c r="F78" s="292" t="n">
        <x:v>7.6848</x:v>
      </x:c>
      <x:c r="G78" s="293" t="n">
        <x:v>163.51</x:v>
      </x:c>
      <x:c r="H78" s="293" t="n">
        <x:v>0.4324</x:v>
      </x:c>
      <x:c r="I78" s="293" t="n">
        <x:f>F78*'Assumptions'!$B$7*(1+'Assumptions'!$B$9)</x:f>
        <x:v>18.44352</x:v>
      </x:c>
      <x:c r="J78" s="293" t="n">
        <x:f>F78*('Assumptions'!$B$7+'Assumptions'!$B$8)*(1+'Assumptions'!$B$9)</x:f>
        <x:v>55.33056</x:v>
      </x:c>
      <x:c r="K78" s="295" t="n">
        <x:f>MAX(0,ROUNDUP(J78-E78,0))</x:f>
        <x:v>53</x:v>
      </x:c>
      <x:c r="L78" s="297" t="n">
        <x:f>IF(F78=0,"",E78/F78)</x:f>
        <x:v>0.3903810118675828</x:v>
      </x:c>
      <x:c r="M78" s="291" t="str">
        <x:f>IF(F78=0,IF(E78&gt;0,"No recent demand","No demand / no stock"),IF(E78&lt;=I78,"Order now",IF(L78&lt;='Assumptions'!$B$8,"Review soon","Sufficient stock")))</x:f>
        <x:v>Order now</x:v>
      </x:c>
      <x:c r="N78" s="299" t="n">
        <x:f>K78*H78</x:f>
        <x:v>22.9172</x:v>
      </x:c>
    </x:row>
    <x:row r="79" ht="16.5" customHeight="1">
      <x:c r="A79" s="278" t="str">
        <x:v>SKU1485</x:v>
      </x:c>
      <x:c r="B79" s="279" t="str">
        <x:v>Product 1485</x:v>
      </x:c>
      <x:c r="C79" s="279" t="str">
        <x:v>Store A</x:v>
      </x:c>
      <x:c r="D79" s="279" t="str">
        <x:v>Multiple suppliers</x:v>
      </x:c>
      <x:c r="E79" s="280" t="n">
        <x:v>0</x:v>
      </x:c>
      <x:c r="F79" s="280" t="n">
        <x:v>7.6087</x:v>
      </x:c>
      <x:c r="G79" s="281" t="n">
        <x:v>24.9</x:v>
      </x:c>
      <x:c r="H79" s="281" t="n">
        <x:v>0</x:v>
      </x:c>
      <x:c r="I79" s="281" t="n">
        <x:f>F79*'Assumptions'!$B$7*(1+'Assumptions'!$B$9)</x:f>
        <x:v>18.26088</x:v>
      </x:c>
      <x:c r="J79" s="281" t="n">
        <x:f>F79*('Assumptions'!$B$7+'Assumptions'!$B$8)*(1+'Assumptions'!$B$9)</x:f>
        <x:v>54.78264</x:v>
      </x:c>
      <x:c r="K79" s="296" t="n">
        <x:f>MAX(0,ROUNDUP(J79-E79,0))</x:f>
        <x:v>55</x:v>
      </x:c>
      <x:c r="L79" s="298" t="n">
        <x:f>IF(F79=0,"",E79/F79)</x:f>
        <x:v>0</x:v>
      </x:c>
      <x:c r="M79" s="279" t="str">
        <x:f>IF(F79=0,IF(E79&gt;0,"No recent demand","No demand / no stock"),IF(E79&lt;=I79,"Order now",IF(L79&lt;='Assumptions'!$B$8,"Review soon","Sufficient stock")))</x:f>
        <x:v>Order now</x:v>
      </x:c>
      <x:c r="N79" s="300" t="n">
        <x:f>K79*H79</x:f>
        <x:v>0</x:v>
      </x:c>
    </x:row>
    <x:row r="80" ht="16.5" customHeight="1">
      <x:c r="A80" s="290" t="str">
        <x:v>SKU1686</x:v>
      </x:c>
      <x:c r="B80" s="291" t="str">
        <x:v>Product 1686</x:v>
      </x:c>
      <x:c r="C80" s="291" t="str">
        <x:v>Store C</x:v>
      </x:c>
      <x:c r="D80" s="291" t="str">
        <x:v>Supplier 42</x:v>
      </x:c>
      <x:c r="E80" s="292" t="n">
        <x:v>18</x:v>
      </x:c>
      <x:c r="F80" s="292" t="n">
        <x:v>7.6087</x:v>
      </x:c>
      <x:c r="G80" s="293" t="n">
        <x:v>116.2</x:v>
      </x:c>
      <x:c r="H80" s="293" t="n">
        <x:v>0.4897</x:v>
      </x:c>
      <x:c r="I80" s="293" t="n">
        <x:f>F80*'Assumptions'!$B$7*(1+'Assumptions'!$B$9)</x:f>
        <x:v>18.26088</x:v>
      </x:c>
      <x:c r="J80" s="293" t="n">
        <x:f>F80*('Assumptions'!$B$7+'Assumptions'!$B$8)*(1+'Assumptions'!$B$9)</x:f>
        <x:v>54.78264</x:v>
      </x:c>
      <x:c r="K80" s="295" t="n">
        <x:f>MAX(0,ROUNDUP(J80-E80,0))</x:f>
        <x:v>37</x:v>
      </x:c>
      <x:c r="L80" s="297" t="n">
        <x:f>IF(F80=0,"",E80/F80)</x:f>
        <x:v>2.3657129338783234</x:v>
      </x:c>
      <x:c r="M80" s="291" t="str">
        <x:f>IF(F80=0,IF(E80&gt;0,"No recent demand","No demand / no stock"),IF(E80&lt;=I80,"Order now",IF(L80&lt;='Assumptions'!$B$8,"Review soon","Sufficient stock")))</x:f>
        <x:v>Order now</x:v>
      </x:c>
      <x:c r="N80" s="299" t="n">
        <x:f>K80*H80</x:f>
        <x:v>18.1189</x:v>
      </x:c>
    </x:row>
    <x:row r="81" ht="16.5" customHeight="1">
      <x:c r="A81" s="278" t="str">
        <x:v>SKU0882</x:v>
      </x:c>
      <x:c r="B81" s="279" t="str">
        <x:v>Product 0882</x:v>
      </x:c>
      <x:c r="C81" s="279" t="str">
        <x:v>Store B</x:v>
      </x:c>
      <x:c r="D81" s="279" t="str">
        <x:v>Supplier 69</x:v>
      </x:c>
      <x:c r="E81" s="280" t="n">
        <x:v>86</x:v>
      </x:c>
      <x:c r="F81" s="280" t="n">
        <x:v>7.5326</x:v>
      </x:c>
      <x:c r="G81" s="281" t="n">
        <x:v>22.7088</x:v>
      </x:c>
      <x:c r="H81" s="281" t="n">
        <x:v>0.0784</x:v>
      </x:c>
      <x:c r="I81" s="281" t="n">
        <x:f>F81*'Assumptions'!$B$7*(1+'Assumptions'!$B$9)</x:f>
        <x:v>18.07824</x:v>
      </x:c>
      <x:c r="J81" s="281" t="n">
        <x:f>F81*('Assumptions'!$B$7+'Assumptions'!$B$8)*(1+'Assumptions'!$B$9)</x:f>
        <x:v>54.234719999999996</x:v>
      </x:c>
      <x:c r="K81" s="296" t="n">
        <x:f>MAX(0,ROUNDUP(J81-E81,0))</x:f>
        <x:v>0</x:v>
      </x:c>
      <x:c r="L81" s="298" t="n">
        <x:f>IF(F81=0,"",E81/F81)</x:f>
        <x:v>11.417040596872262</x:v>
      </x:c>
      <x:c r="M81" s="279" t="str">
        <x:f>IF(F81=0,IF(E81&gt;0,"No recent demand","No demand / no stock"),IF(E81&lt;=I81,"Order now",IF(L81&lt;='Assumptions'!$B$8,"Review soon","Sufficient stock")))</x:f>
        <x:v>Sufficient stock</x:v>
      </x:c>
      <x:c r="N81" s="300" t="n">
        <x:f>K81*H81</x:f>
        <x:v>0</x:v>
      </x:c>
    </x:row>
    <x:row r="82" ht="16.5" customHeight="1">
      <x:c r="A82" s="290" t="str">
        <x:v>SKU1077</x:v>
      </x:c>
      <x:c r="B82" s="291" t="str">
        <x:v>Product 1077</x:v>
      </x:c>
      <x:c r="C82" s="291" t="str">
        <x:v>Store C</x:v>
      </x:c>
      <x:c r="D82" s="291" t="str">
        <x:v>Supplier 02</x:v>
      </x:c>
      <x:c r="E82" s="292" t="n">
        <x:v>0</x:v>
      </x:c>
      <x:c r="F82" s="292" t="n">
        <x:v>7.4565</x:v>
      </x:c>
      <x:c r="G82" s="293" t="n">
        <x:v>161.518</x:v>
      </x:c>
      <x:c r="H82" s="293" t="n">
        <x:v>0.4756</x:v>
      </x:c>
      <x:c r="I82" s="293" t="n">
        <x:f>F82*'Assumptions'!$B$7*(1+'Assumptions'!$B$9)</x:f>
        <x:v>17.895599999999998</x:v>
      </x:c>
      <x:c r="J82" s="293" t="n">
        <x:f>F82*('Assumptions'!$B$7+'Assumptions'!$B$8)*(1+'Assumptions'!$B$9)</x:f>
        <x:v>53.686800000000005</x:v>
      </x:c>
      <x:c r="K82" s="295" t="n">
        <x:f>MAX(0,ROUNDUP(J82-E82,0))</x:f>
        <x:v>54</x:v>
      </x:c>
      <x:c r="L82" s="297" t="n">
        <x:f>IF(F82=0,"",E82/F82)</x:f>
        <x:v>0</x:v>
      </x:c>
      <x:c r="M82" s="291" t="str">
        <x:f>IF(F82=0,IF(E82&gt;0,"No recent demand","No demand / no stock"),IF(E82&lt;=I82,"Order now",IF(L82&lt;='Assumptions'!$B$8,"Review soon","Sufficient stock")))</x:f>
        <x:v>Order now</x:v>
      </x:c>
      <x:c r="N82" s="299" t="n">
        <x:f>K82*H82</x:f>
        <x:v>25.6824</x:v>
      </x:c>
    </x:row>
    <x:row r="83" ht="16.5" customHeight="1">
      <x:c r="A83" s="278" t="str">
        <x:v>SKU0247</x:v>
      </x:c>
      <x:c r="B83" s="279" t="str">
        <x:v>Product 0247</x:v>
      </x:c>
      <x:c r="C83" s="279" t="str">
        <x:v>Store C</x:v>
      </x:c>
      <x:c r="D83" s="279" t="str">
        <x:v>Multiple suppliers</x:v>
      </x:c>
      <x:c r="E83" s="280" t="n">
        <x:v>0</x:v>
      </x:c>
      <x:c r="F83" s="280" t="n">
        <x:v>7.3804</x:v>
      </x:c>
      <x:c r="G83" s="281" t="n">
        <x:v>152.1805</x:v>
      </x:c>
      <x:c r="H83" s="281" t="n">
        <x:v>0.679</x:v>
      </x:c>
      <x:c r="I83" s="281" t="n">
        <x:f>F83*'Assumptions'!$B$7*(1+'Assumptions'!$B$9)</x:f>
        <x:v>17.71296</x:v>
      </x:c>
      <x:c r="J83" s="281" t="n">
        <x:f>F83*('Assumptions'!$B$7+'Assumptions'!$B$8)*(1+'Assumptions'!$B$9)</x:f>
        <x:v>53.13887999999999</x:v>
      </x:c>
      <x:c r="K83" s="296" t="n">
        <x:f>MAX(0,ROUNDUP(J83-E83,0))</x:f>
        <x:v>54</x:v>
      </x:c>
      <x:c r="L83" s="298" t="n">
        <x:f>IF(F83=0,"",E83/F83)</x:f>
        <x:v>0</x:v>
      </x:c>
      <x:c r="M83" s="279" t="str">
        <x:f>IF(F83=0,IF(E83&gt;0,"No recent demand","No demand / no stock"),IF(E83&lt;=I83,"Order now",IF(L83&lt;='Assumptions'!$B$8,"Review soon","Sufficient stock")))</x:f>
        <x:v>Order now</x:v>
      </x:c>
      <x:c r="N83" s="300" t="n">
        <x:f>K83*H83</x:f>
        <x:v>36.666000000000004</x:v>
      </x:c>
    </x:row>
    <x:row r="84" ht="16.5" customHeight="1">
      <x:c r="A84" s="290" t="str">
        <x:v>SKU1790</x:v>
      </x:c>
      <x:c r="B84" s="291" t="str">
        <x:v>Product 1790</x:v>
      </x:c>
      <x:c r="C84" s="291" t="str">
        <x:v>Store C</x:v>
      </x:c>
      <x:c r="D84" s="291" t="str">
        <x:v>Supplier 42</x:v>
      </x:c>
      <x:c r="E84" s="292" t="n">
        <x:v>54</x:v>
      </x:c>
      <x:c r="F84" s="292" t="n">
        <x:v>7.3804</x:v>
      </x:c>
      <x:c r="G84" s="293" t="n">
        <x:v>230.3665</x:v>
      </x:c>
      <x:c r="H84" s="293" t="n">
        <x:v>1.2376</x:v>
      </x:c>
      <x:c r="I84" s="293" t="n">
        <x:f>F84*'Assumptions'!$B$7*(1+'Assumptions'!$B$9)</x:f>
        <x:v>17.71296</x:v>
      </x:c>
      <x:c r="J84" s="293" t="n">
        <x:f>F84*('Assumptions'!$B$7+'Assumptions'!$B$8)*(1+'Assumptions'!$B$9)</x:f>
        <x:v>53.13887999999999</x:v>
      </x:c>
      <x:c r="K84" s="295" t="n">
        <x:f>MAX(0,ROUNDUP(J84-E84,0))</x:f>
        <x:v>0</x:v>
      </x:c>
      <x:c r="L84" s="297" t="n">
        <x:f>IF(F84=0,"",E84/F84)</x:f>
        <x:v>7.316676602894153</x:v>
      </x:c>
      <x:c r="M84" s="291" t="str">
        <x:f>IF(F84=0,IF(E84&gt;0,"No recent demand","No demand / no stock"),IF(E84&lt;=I84,"Order now",IF(L84&lt;='Assumptions'!$B$8,"Review soon","Sufficient stock")))</x:f>
        <x:v>Sufficient stock</x:v>
      </x:c>
      <x:c r="N84" s="299" t="n">
        <x:f>K84*H84</x:f>
        <x:v>0</x:v>
      </x:c>
    </x:row>
    <x:row r="85" ht="16.5" customHeight="1">
      <x:c r="A85" s="278" t="str">
        <x:v>SKU1436</x:v>
      </x:c>
      <x:c r="B85" s="279" t="str">
        <x:v>Product 1436</x:v>
      </x:c>
      <x:c r="C85" s="279" t="str">
        <x:v>Store A</x:v>
      </x:c>
      <x:c r="D85" s="279" t="str">
        <x:v>Multiple suppliers</x:v>
      </x:c>
      <x:c r="E85" s="280" t="n">
        <x:v>300</x:v>
      </x:c>
      <x:c r="F85" s="280" t="n">
        <x:v>7.3043</x:v>
      </x:c>
      <x:c r="G85" s="281" t="n">
        <x:v>23.7297</x:v>
      </x:c>
      <x:c r="H85" s="281" t="n">
        <x:v>0.0743</x:v>
      </x:c>
      <x:c r="I85" s="281" t="n">
        <x:f>F85*'Assumptions'!$B$7*(1+'Assumptions'!$B$9)</x:f>
        <x:v>17.53032</x:v>
      </x:c>
      <x:c r="J85" s="281" t="n">
        <x:f>F85*('Assumptions'!$B$7+'Assumptions'!$B$8)*(1+'Assumptions'!$B$9)</x:f>
        <x:v>52.59096</x:v>
      </x:c>
      <x:c r="K85" s="296" t="n">
        <x:f>MAX(0,ROUNDUP(J85-E85,0))</x:f>
        <x:v>0</x:v>
      </x:c>
      <x:c r="L85" s="298" t="n">
        <x:f>IF(F85=0,"",E85/F85)</x:f>
        <x:v>41.071697493257396</x:v>
      </x:c>
      <x:c r="M85" s="279" t="str">
        <x:f>IF(F85=0,IF(E85&gt;0,"No recent demand","No demand / no stock"),IF(E85&lt;=I85,"Order now",IF(L85&lt;='Assumptions'!$B$8,"Review soon","Sufficient stock")))</x:f>
        <x:v>Sufficient stock</x:v>
      </x:c>
      <x:c r="N85" s="300" t="n">
        <x:f>K85*H85</x:f>
        <x:v>0</x:v>
      </x:c>
    </x:row>
    <x:row r="86" ht="16.5" customHeight="1">
      <x:c r="A86" s="290" t="str">
        <x:v>SKU0692</x:v>
      </x:c>
      <x:c r="B86" s="291" t="str">
        <x:v>Product 0692</x:v>
      </x:c>
      <x:c r="C86" s="291" t="str">
        <x:v>Store A</x:v>
      </x:c>
      <x:c r="D86" s="291" t="str">
        <x:v>Supplier 02</x:v>
      </x:c>
      <x:c r="E86" s="292" t="n">
        <x:v>68</x:v>
      </x:c>
      <x:c r="F86" s="292" t="n">
        <x:v>7.2283</x:v>
      </x:c>
      <x:c r="G86" s="293" t="n">
        <x:v>46.9614</x:v>
      </x:c>
      <x:c r="H86" s="293" t="n">
        <x:v>0.21</x:v>
      </x:c>
      <x:c r="I86" s="293" t="n">
        <x:f>F86*'Assumptions'!$B$7*(1+'Assumptions'!$B$9)</x:f>
        <x:v>17.34792</x:v>
      </x:c>
      <x:c r="J86" s="293" t="n">
        <x:f>F86*('Assumptions'!$B$7+'Assumptions'!$B$8)*(1+'Assumptions'!$B$9)</x:f>
        <x:v>52.04376</x:v>
      </x:c>
      <x:c r="K86" s="295" t="n">
        <x:f>MAX(0,ROUNDUP(J86-E86,0))</x:f>
        <x:v>0</x:v>
      </x:c>
      <x:c r="L86" s="297" t="n">
        <x:f>IF(F86=0,"",E86/F86)</x:f>
        <x:v>9.407467869346872</x:v>
      </x:c>
      <x:c r="M86" s="291" t="str">
        <x:f>IF(F86=0,IF(E86&gt;0,"No recent demand","No demand / no stock"),IF(E86&lt;=I86,"Order now",IF(L86&lt;='Assumptions'!$B$8,"Review soon","Sufficient stock")))</x:f>
        <x:v>Sufficient stock</x:v>
      </x:c>
      <x:c r="N86" s="299" t="n">
        <x:f>K86*H86</x:f>
        <x:v>0</x:v>
      </x:c>
    </x:row>
    <x:row r="87" ht="16.5" customHeight="1">
      <x:c r="A87" s="278" t="str">
        <x:v>SKU1084</x:v>
      </x:c>
      <x:c r="B87" s="279" t="str">
        <x:v>Product 1084</x:v>
      </x:c>
      <x:c r="C87" s="279" t="str">
        <x:v>Store C</x:v>
      </x:c>
      <x:c r="D87" s="279" t="str">
        <x:v>Supplier 02</x:v>
      </x:c>
      <x:c r="E87" s="280" t="n">
        <x:v>2</x:v>
      </x:c>
      <x:c r="F87" s="280" t="n">
        <x:v>7.2283</x:v>
      </x:c>
      <x:c r="G87" s="281" t="n">
        <x:v>118.275</x:v>
      </x:c>
      <x:c r="H87" s="281" t="n">
        <x:v>0.3196</x:v>
      </x:c>
      <x:c r="I87" s="281" t="n">
        <x:f>F87*'Assumptions'!$B$7*(1+'Assumptions'!$B$9)</x:f>
        <x:v>17.34792</x:v>
      </x:c>
      <x:c r="J87" s="281" t="n">
        <x:f>F87*('Assumptions'!$B$7+'Assumptions'!$B$8)*(1+'Assumptions'!$B$9)</x:f>
        <x:v>52.04376</x:v>
      </x:c>
      <x:c r="K87" s="296" t="n">
        <x:f>MAX(0,ROUNDUP(J87-E87,0))</x:f>
        <x:v>51</x:v>
      </x:c>
      <x:c r="L87" s="298" t="n">
        <x:f>IF(F87=0,"",E87/F87)</x:f>
        <x:v>0.2766902314513786</x:v>
      </x:c>
      <x:c r="M87" s="279" t="str">
        <x:f>IF(F87=0,IF(E87&gt;0,"No recent demand","No demand / no stock"),IF(E87&lt;=I87,"Order now",IF(L87&lt;='Assumptions'!$B$8,"Review soon","Sufficient stock")))</x:f>
        <x:v>Order now</x:v>
      </x:c>
      <x:c r="N87" s="300" t="n">
        <x:f>K87*H87</x:f>
        <x:v>16.299599999999998</x:v>
      </x:c>
    </x:row>
    <x:row r="88" ht="16.5" customHeight="1">
      <x:c r="A88" s="290" t="str">
        <x:v>SKU1323</x:v>
      </x:c>
      <x:c r="B88" s="291" t="str">
        <x:v>Product 1323</x:v>
      </x:c>
      <x:c r="C88" s="291" t="str">
        <x:v>Store B</x:v>
      </x:c>
      <x:c r="D88" s="291" t="str">
        <x:v>Supplier 03</x:v>
      </x:c>
      <x:c r="E88" s="292" t="n">
        <x:v>0</x:v>
      </x:c>
      <x:c r="F88" s="292" t="n">
        <x:v>7.1522</x:v>
      </x:c>
      <x:c r="G88" s="293" t="n">
        <x:v>131.0819</x:v>
      </x:c>
      <x:c r="H88" s="293" t="n">
        <x:v>0.6226</x:v>
      </x:c>
      <x:c r="I88" s="293" t="n">
        <x:f>F88*'Assumptions'!$B$7*(1+'Assumptions'!$B$9)</x:f>
        <x:v>17.16528</x:v>
      </x:c>
      <x:c r="J88" s="293" t="n">
        <x:f>F88*('Assumptions'!$B$7+'Assumptions'!$B$8)*(1+'Assumptions'!$B$9)</x:f>
        <x:v>51.495839999999994</x:v>
      </x:c>
      <x:c r="K88" s="295" t="n">
        <x:f>MAX(0,ROUNDUP(J88-E88,0))</x:f>
        <x:v>52</x:v>
      </x:c>
      <x:c r="L88" s="297" t="n">
        <x:f>IF(F88=0,"",E88/F88)</x:f>
        <x:v>0</x:v>
      </x:c>
      <x:c r="M88" s="291" t="str">
        <x:f>IF(F88=0,IF(E88&gt;0,"No recent demand","No demand / no stock"),IF(E88&lt;=I88,"Order now",IF(L88&lt;='Assumptions'!$B$8,"Review soon","Sufficient stock")))</x:f>
        <x:v>Order now</x:v>
      </x:c>
      <x:c r="N88" s="299" t="n">
        <x:f>K88*H88</x:f>
        <x:v>32.3752</x:v>
      </x:c>
    </x:row>
    <x:row r="89" ht="16.5" customHeight="1">
      <x:c r="A89" s="278" t="str">
        <x:v>SKU0738</x:v>
      </x:c>
      <x:c r="B89" s="279" t="str">
        <x:v>Product 0738</x:v>
      </x:c>
      <x:c r="C89" s="279" t="str">
        <x:v>Store C</x:v>
      </x:c>
      <x:c r="D89" s="279" t="str">
        <x:v>Supplier 69</x:v>
      </x:c>
      <x:c r="E89" s="280" t="n">
        <x:v>36</x:v>
      </x:c>
      <x:c r="F89" s="280" t="n">
        <x:v>7</x:v>
      </x:c>
      <x:c r="G89" s="281" t="n">
        <x:v>137.448</x:v>
      </x:c>
      <x:c r="H89" s="281" t="n">
        <x:v>0.6391</x:v>
      </x:c>
      <x:c r="I89" s="281" t="n">
        <x:f>F89*'Assumptions'!$B$7*(1+'Assumptions'!$B$9)</x:f>
        <x:v>16.8</x:v>
      </x:c>
      <x:c r="J89" s="281" t="n">
        <x:f>F89*('Assumptions'!$B$7+'Assumptions'!$B$8)*(1+'Assumptions'!$B$9)</x:f>
        <x:v>50.4</x:v>
      </x:c>
      <x:c r="K89" s="296" t="n">
        <x:f>MAX(0,ROUNDUP(J89-E89,0))</x:f>
        <x:v>15</x:v>
      </x:c>
      <x:c r="L89" s="298" t="n">
        <x:f>IF(F89=0,"",E89/F89)</x:f>
        <x:v>5.142857142857143</x:v>
      </x:c>
      <x:c r="M89" s="279" t="str">
        <x:f>IF(F89=0,IF(E89&gt;0,"No recent demand","No demand / no stock"),IF(E89&lt;=I89,"Order now",IF(L89&lt;='Assumptions'!$B$8,"Review soon","Sufficient stock")))</x:f>
        <x:v>Sufficient stock</x:v>
      </x:c>
      <x:c r="N89" s="300" t="n">
        <x:f>K89*H89</x:f>
        <x:v>9.586500000000001</x:v>
      </x:c>
    </x:row>
    <x:row r="90" ht="16.5" customHeight="1">
      <x:c r="A90" s="290" t="str">
        <x:v>SKU0861</x:v>
      </x:c>
      <x:c r="B90" s="291" t="str">
        <x:v>Product 0861</x:v>
      </x:c>
      <x:c r="C90" s="291" t="str">
        <x:v>Store A</x:v>
      </x:c>
      <x:c r="D90" s="291" t="str">
        <x:v>Supplier 69</x:v>
      </x:c>
      <x:c r="E90" s="292" t="n">
        <x:v>0</x:v>
      </x:c>
      <x:c r="F90" s="292" t="n">
        <x:v>7</x:v>
      </x:c>
      <x:c r="G90" s="293" t="n">
        <x:v>44.6208</x:v>
      </x:c>
      <x:c r="H90" s="293" t="n">
        <x:v>0.2846</x:v>
      </x:c>
      <x:c r="I90" s="293" t="n">
        <x:f>F90*'Assumptions'!$B$7*(1+'Assumptions'!$B$9)</x:f>
        <x:v>16.8</x:v>
      </x:c>
      <x:c r="J90" s="293" t="n">
        <x:f>F90*('Assumptions'!$B$7+'Assumptions'!$B$8)*(1+'Assumptions'!$B$9)</x:f>
        <x:v>50.4</x:v>
      </x:c>
      <x:c r="K90" s="295" t="n">
        <x:f>MAX(0,ROUNDUP(J90-E90,0))</x:f>
        <x:v>51</x:v>
      </x:c>
      <x:c r="L90" s="297" t="n">
        <x:f>IF(F90=0,"",E90/F90)</x:f>
        <x:v>0</x:v>
      </x:c>
      <x:c r="M90" s="291" t="str">
        <x:f>IF(F90=0,IF(E90&gt;0,"No recent demand","No demand / no stock"),IF(E90&lt;=I90,"Order now",IF(L90&lt;='Assumptions'!$B$8,"Review soon","Sufficient stock")))</x:f>
        <x:v>Order now</x:v>
      </x:c>
      <x:c r="N90" s="299" t="n">
        <x:f>K90*H90</x:f>
        <x:v>14.514600000000002</x:v>
      </x:c>
    </x:row>
    <x:row r="91" ht="16.5" customHeight="1">
      <x:c r="A91" s="278" t="str">
        <x:v>SKU1084</x:v>
      </x:c>
      <x:c r="B91" s="279" t="str">
        <x:v>Product 1084</x:v>
      </x:c>
      <x:c r="C91" s="279" t="str">
        <x:v>Store B</x:v>
      </x:c>
      <x:c r="D91" s="279" t="str">
        <x:v>Supplier 02</x:v>
      </x:c>
      <x:c r="E91" s="280" t="n">
        <x:v>15</x:v>
      </x:c>
      <x:c r="F91" s="280" t="n">
        <x:v>7</x:v>
      </x:c>
      <x:c r="G91" s="281" t="n">
        <x:v>112.9215</x:v>
      </x:c>
      <x:c r="H91" s="281" t="n">
        <x:v>0.3196</x:v>
      </x:c>
      <x:c r="I91" s="281" t="n">
        <x:f>F91*'Assumptions'!$B$7*(1+'Assumptions'!$B$9)</x:f>
        <x:v>16.8</x:v>
      </x:c>
      <x:c r="J91" s="281" t="n">
        <x:f>F91*('Assumptions'!$B$7+'Assumptions'!$B$8)*(1+'Assumptions'!$B$9)</x:f>
        <x:v>50.4</x:v>
      </x:c>
      <x:c r="K91" s="296" t="n">
        <x:f>MAX(0,ROUNDUP(J91-E91,0))</x:f>
        <x:v>36</x:v>
      </x:c>
      <x:c r="L91" s="298" t="n">
        <x:f>IF(F91=0,"",E91/F91)</x:f>
        <x:v>2.142857142857143</x:v>
      </x:c>
      <x:c r="M91" s="279" t="str">
        <x:f>IF(F91=0,IF(E91&gt;0,"No recent demand","No demand / no stock"),IF(E91&lt;=I91,"Order now",IF(L91&lt;='Assumptions'!$B$8,"Review soon","Sufficient stock")))</x:f>
        <x:v>Order now</x:v>
      </x:c>
      <x:c r="N91" s="300" t="n">
        <x:f>K91*H91</x:f>
        <x:v>11.5056</x:v>
      </x:c>
    </x:row>
    <x:row r="92" ht="16.5" customHeight="1">
      <x:c r="A92" s="290" t="str">
        <x:v>SKU1231</x:v>
      </x:c>
      <x:c r="B92" s="291" t="str">
        <x:v>Product 1231</x:v>
      </x:c>
      <x:c r="C92" s="291" t="str">
        <x:v>Store B</x:v>
      </x:c>
      <x:c r="D92" s="291" t="str">
        <x:v>Supplier 19</x:v>
      </x:c>
      <x:c r="E92" s="292" t="n">
        <x:v>49</x:v>
      </x:c>
      <x:c r="F92" s="292" t="n">
        <x:v>6.9239</x:v>
      </x:c>
      <x:c r="G92" s="293" t="n">
        <x:v>15.0064</x:v>
      </x:c>
      <x:c r="H92" s="293" t="n">
        <x:v>0.0498</x:v>
      </x:c>
      <x:c r="I92" s="293" t="n">
        <x:f>F92*'Assumptions'!$B$7*(1+'Assumptions'!$B$9)</x:f>
        <x:v>16.617359999999998</x:v>
      </x:c>
      <x:c r="J92" s="293" t="n">
        <x:f>F92*('Assumptions'!$B$7+'Assumptions'!$B$8)*(1+'Assumptions'!$B$9)</x:f>
        <x:v>49.852079999999994</x:v>
      </x:c>
      <x:c r="K92" s="295" t="n">
        <x:f>MAX(0,ROUNDUP(J92-E92,0))</x:f>
        <x:v>1</x:v>
      </x:c>
      <x:c r="L92" s="297" t="n">
        <x:f>IF(F92=0,"",E92/F92)</x:f>
        <x:v>7.076936408671414</x:v>
      </x:c>
      <x:c r="M92" s="291" t="str">
        <x:f>IF(F92=0,IF(E92&gt;0,"No recent demand","No demand / no stock"),IF(E92&lt;=I92,"Order now",IF(L92&lt;='Assumptions'!$B$8,"Review soon","Sufficient stock")))</x:f>
        <x:v>Sufficient stock</x:v>
      </x:c>
      <x:c r="N92" s="299" t="n">
        <x:f>K92*H92</x:f>
        <x:v>0.0498</x:v>
      </x:c>
    </x:row>
    <x:row r="93" ht="16.5" customHeight="1">
      <x:c r="A93" s="278" t="str">
        <x:v>SKU1030</x:v>
      </x:c>
      <x:c r="B93" s="279" t="str">
        <x:v>Product 1030</x:v>
      </x:c>
      <x:c r="C93" s="279" t="str">
        <x:v>Store A</x:v>
      </x:c>
      <x:c r="D93" s="279" t="str">
        <x:v>Supplier 69</x:v>
      </x:c>
      <x:c r="E93" s="280" t="n">
        <x:v>0</x:v>
      </x:c>
      <x:c r="F93" s="280" t="n">
        <x:v>6.8478</x:v>
      </x:c>
      <x:c r="G93" s="281" t="n">
        <x:v>59.76</x:v>
      </x:c>
      <x:c r="H93" s="281" t="n">
        <x:v>0</x:v>
      </x:c>
      <x:c r="I93" s="281" t="n">
        <x:f>F93*'Assumptions'!$B$7*(1+'Assumptions'!$B$9)</x:f>
        <x:v>16.43472</x:v>
      </x:c>
      <x:c r="J93" s="281" t="n">
        <x:f>F93*('Assumptions'!$B$7+'Assumptions'!$B$8)*(1+'Assumptions'!$B$9)</x:f>
        <x:v>49.30416</x:v>
      </x:c>
      <x:c r="K93" s="296" t="n">
        <x:f>MAX(0,ROUNDUP(J93-E93,0))</x:f>
        <x:v>50</x:v>
      </x:c>
      <x:c r="L93" s="298" t="n">
        <x:f>IF(F93=0,"",E93/F93)</x:f>
        <x:v>0</x:v>
      </x:c>
      <x:c r="M93" s="279" t="str">
        <x:f>IF(F93=0,IF(E93&gt;0,"No recent demand","No demand / no stock"),IF(E93&lt;=I93,"Order now",IF(L93&lt;='Assumptions'!$B$8,"Review soon","Sufficient stock")))</x:f>
        <x:v>Order now</x:v>
      </x:c>
      <x:c r="N93" s="300" t="n">
        <x:f>K93*H93</x:f>
        <x:v>0</x:v>
      </x:c>
    </x:row>
    <x:row r="94" ht="16.5" customHeight="1">
      <x:c r="A94" s="290" t="str">
        <x:v>SKU0518</x:v>
      </x:c>
      <x:c r="B94" s="291" t="str">
        <x:v>Product 0518</x:v>
      </x:c>
      <x:c r="C94" s="291" t="str">
        <x:v>Store A</x:v>
      </x:c>
      <x:c r="D94" s="291" t="str">
        <x:v>Multiple suppliers</x:v>
      </x:c>
      <x:c r="E94" s="292" t="n">
        <x:v>39</x:v>
      </x:c>
      <x:c r="F94" s="292" t="n">
        <x:v>6.6957</x:v>
      </x:c>
      <x:c r="G94" s="293" t="n">
        <x:v>49.9079</x:v>
      </x:c>
      <x:c r="H94" s="293" t="n">
        <x:v>0.2229</x:v>
      </x:c>
      <x:c r="I94" s="293" t="n">
        <x:f>F94*'Assumptions'!$B$7*(1+'Assumptions'!$B$9)</x:f>
        <x:v>16.06968</x:v>
      </x:c>
      <x:c r="J94" s="293" t="n">
        <x:f>F94*('Assumptions'!$B$7+'Assumptions'!$B$8)*(1+'Assumptions'!$B$9)</x:f>
        <x:v>48.209039999999995</x:v>
      </x:c>
      <x:c r="K94" s="295" t="n">
        <x:f>MAX(0,ROUNDUP(J94-E94,0))</x:f>
        <x:v>10</x:v>
      </x:c>
      <x:c r="L94" s="297" t="n">
        <x:f>IF(F94=0,"",E94/F94)</x:f>
        <x:v>5.824633720148752</x:v>
      </x:c>
      <x:c r="M94" s="291" t="str">
        <x:f>IF(F94=0,IF(E94&gt;0,"No recent demand","No demand / no stock"),IF(E94&lt;=I94,"Order now",IF(L94&lt;='Assumptions'!$B$8,"Review soon","Sufficient stock")))</x:f>
        <x:v>Sufficient stock</x:v>
      </x:c>
      <x:c r="N94" s="299" t="n">
        <x:f>K94*H94</x:f>
        <x:v>2.229</x:v>
      </x:c>
    </x:row>
    <x:row r="95" ht="16.5" customHeight="1">
      <x:c r="A95" s="278" t="str">
        <x:v>SKU1106</x:v>
      </x:c>
      <x:c r="B95" s="279" t="str">
        <x:v>Product 1106</x:v>
      </x:c>
      <x:c r="C95" s="279" t="str">
        <x:v>Store A</x:v>
      </x:c>
      <x:c r="D95" s="279" t="str">
        <x:v>Supplier 19</x:v>
      </x:c>
      <x:c r="E95" s="280" t="n">
        <x:v>96</x:v>
      </x:c>
      <x:c r="F95" s="280" t="n">
        <x:v>6.6957</x:v>
      </x:c>
      <x:c r="G95" s="281" t="n">
        <x:v>14.027</x:v>
      </x:c>
      <x:c r="H95" s="281" t="n">
        <x:v>0.0415</x:v>
      </x:c>
      <x:c r="I95" s="281" t="n">
        <x:f>F95*'Assumptions'!$B$7*(1+'Assumptions'!$B$9)</x:f>
        <x:v>16.06968</x:v>
      </x:c>
      <x:c r="J95" s="281" t="n">
        <x:f>F95*('Assumptions'!$B$7+'Assumptions'!$B$8)*(1+'Assumptions'!$B$9)</x:f>
        <x:v>48.209039999999995</x:v>
      </x:c>
      <x:c r="K95" s="296" t="n">
        <x:f>MAX(0,ROUNDUP(J95-E95,0))</x:f>
        <x:v>0</x:v>
      </x:c>
      <x:c r="L95" s="298" t="n">
        <x:f>IF(F95=0,"",E95/F95)</x:f>
        <x:v>14.337559926520004</x:v>
      </x:c>
      <x:c r="M95" s="279" t="str">
        <x:f>IF(F95=0,IF(E95&gt;0,"No recent demand","No demand / no stock"),IF(E95&lt;=I95,"Order now",IF(L95&lt;='Assumptions'!$B$8,"Review soon","Sufficient stock")))</x:f>
        <x:v>Sufficient stock</x:v>
      </x:c>
      <x:c r="N95" s="300" t="n">
        <x:f>K95*H95</x:f>
        <x:v>0</x:v>
      </x:c>
    </x:row>
    <x:row r="96" ht="16.5" customHeight="1">
      <x:c r="A96" s="290" t="str">
        <x:v>SKU0260</x:v>
      </x:c>
      <x:c r="B96" s="291" t="str">
        <x:v>Product 0260</x:v>
      </x:c>
      <x:c r="C96" s="291" t="str">
        <x:v>Store C</x:v>
      </x:c>
      <x:c r="D96" s="291" t="str">
        <x:v>Supplier 02</x:v>
      </x:c>
      <x:c r="E96" s="292" t="n">
        <x:v>8</x:v>
      </x:c>
      <x:c r="F96" s="292" t="n">
        <x:v>6.6196</x:v>
      </x:c>
      <x:c r="G96" s="293" t="n">
        <x:v>158.3142</x:v>
      </x:c>
      <x:c r="H96" s="293" t="n">
        <x:v>0.7171</x:v>
      </x:c>
      <x:c r="I96" s="293" t="n">
        <x:f>F96*'Assumptions'!$B$7*(1+'Assumptions'!$B$9)</x:f>
        <x:v>15.887039999999999</x:v>
      </x:c>
      <x:c r="J96" s="293" t="n">
        <x:f>F96*('Assumptions'!$B$7+'Assumptions'!$B$8)*(1+'Assumptions'!$B$9)</x:f>
        <x:v>47.661120000000004</x:v>
      </x:c>
      <x:c r="K96" s="295" t="n">
        <x:f>MAX(0,ROUNDUP(J96-E96,0))</x:f>
        <x:v>40</x:v>
      </x:c>
      <x:c r="L96" s="297" t="n">
        <x:f>IF(F96=0,"",E96/F96)</x:f>
        <x:v>1.2085322375974379</x:v>
      </x:c>
      <x:c r="M96" s="291" t="str">
        <x:f>IF(F96=0,IF(E96&gt;0,"No recent demand","No demand / no stock"),IF(E96&lt;=I96,"Order now",IF(L96&lt;='Assumptions'!$B$8,"Review soon","Sufficient stock")))</x:f>
        <x:v>Order now</x:v>
      </x:c>
      <x:c r="N96" s="299" t="n">
        <x:f>K96*H96</x:f>
        <x:v>28.683999999999997</x:v>
      </x:c>
    </x:row>
    <x:row r="97" ht="16.5" customHeight="1">
      <x:c r="A97" s="278" t="str">
        <x:v>SKU0831</x:v>
      </x:c>
      <x:c r="B97" s="279" t="str">
        <x:v>Product 0831</x:v>
      </x:c>
      <x:c r="C97" s="279" t="str">
        <x:v>Store C</x:v>
      </x:c>
      <x:c r="D97" s="279" t="str">
        <x:v>Supplier 70</x:v>
      </x:c>
      <x:c r="E97" s="280" t="n">
        <x:v>45</x:v>
      </x:c>
      <x:c r="F97" s="280" t="n">
        <x:v>6.6196</x:v>
      </x:c>
      <x:c r="G97" s="281" t="n">
        <x:v>38.8938</x:v>
      </x:c>
      <x:c r="H97" s="281" t="n">
        <x:v>0.1701</x:v>
      </x:c>
      <x:c r="I97" s="281" t="n">
        <x:f>F97*'Assumptions'!$B$7*(1+'Assumptions'!$B$9)</x:f>
        <x:v>15.887039999999999</x:v>
      </x:c>
      <x:c r="J97" s="281" t="n">
        <x:f>F97*('Assumptions'!$B$7+'Assumptions'!$B$8)*(1+'Assumptions'!$B$9)</x:f>
        <x:v>47.661120000000004</x:v>
      </x:c>
      <x:c r="K97" s="296" t="n">
        <x:f>MAX(0,ROUNDUP(J97-E97,0))</x:f>
        <x:v>3</x:v>
      </x:c>
      <x:c r="L97" s="298" t="n">
        <x:f>IF(F97=0,"",E97/F97)</x:f>
        <x:v>6.797993836485588</x:v>
      </x:c>
      <x:c r="M97" s="279" t="str">
        <x:f>IF(F97=0,IF(E97&gt;0,"No recent demand","No demand / no stock"),IF(E97&lt;=I97,"Order now",IF(L97&lt;='Assumptions'!$B$8,"Review soon","Sufficient stock")))</x:f>
        <x:v>Sufficient stock</x:v>
      </x:c>
      <x:c r="N97" s="300" t="n">
        <x:f>K97*H97</x:f>
        <x:v>0.5103</x:v>
      </x:c>
    </x:row>
    <x:row r="98" ht="16.5" customHeight="1">
      <x:c r="A98" s="290" t="str">
        <x:v>SKU1077</x:v>
      </x:c>
      <x:c r="B98" s="291" t="str">
        <x:v>Product 1077</x:v>
      </x:c>
      <x:c r="C98" s="291" t="str">
        <x:v>Store A</x:v>
      </x:c>
      <x:c r="D98" s="291" t="str">
        <x:v>Supplier 02</x:v>
      </x:c>
      <x:c r="E98" s="292" t="n">
        <x:v>0</x:v>
      </x:c>
      <x:c r="F98" s="292" t="n">
        <x:v>6.6196</x:v>
      </x:c>
      <x:c r="G98" s="293" t="n">
        <x:v>142.262</x:v>
      </x:c>
      <x:c r="H98" s="293" t="n">
        <x:v>0.4757</x:v>
      </x:c>
      <x:c r="I98" s="293" t="n">
        <x:f>F98*'Assumptions'!$B$7*(1+'Assumptions'!$B$9)</x:f>
        <x:v>15.887039999999999</x:v>
      </x:c>
      <x:c r="J98" s="293" t="n">
        <x:f>F98*('Assumptions'!$B$7+'Assumptions'!$B$8)*(1+'Assumptions'!$B$9)</x:f>
        <x:v>47.661120000000004</x:v>
      </x:c>
      <x:c r="K98" s="295" t="n">
        <x:f>MAX(0,ROUNDUP(J98-E98,0))</x:f>
        <x:v>48</x:v>
      </x:c>
      <x:c r="L98" s="297" t="n">
        <x:f>IF(F98=0,"",E98/F98)</x:f>
        <x:v>0</x:v>
      </x:c>
      <x:c r="M98" s="291" t="str">
        <x:f>IF(F98=0,IF(E98&gt;0,"No recent demand","No demand / no stock"),IF(E98&lt;=I98,"Order now",IF(L98&lt;='Assumptions'!$B$8,"Review soon","Sufficient stock")))</x:f>
        <x:v>Order now</x:v>
      </x:c>
      <x:c r="N98" s="299" t="n">
        <x:f>K98*H98</x:f>
        <x:v>22.8336</x:v>
      </x:c>
    </x:row>
    <x:row r="99" ht="16.5" customHeight="1">
      <x:c r="A99" s="278" t="str">
        <x:v>SKU0668</x:v>
      </x:c>
      <x:c r="B99" s="279" t="str">
        <x:v>Product 0668</x:v>
      </x:c>
      <x:c r="C99" s="279" t="str">
        <x:v>Store B</x:v>
      </x:c>
      <x:c r="D99" s="279" t="str">
        <x:v>Supplier 61</x:v>
      </x:c>
      <x:c r="E99" s="280" t="n">
        <x:v>11</x:v>
      </x:c>
      <x:c r="F99" s="280" t="n">
        <x:v>6.3913</x:v>
      </x:c>
      <x:c r="G99" s="281" t="n">
        <x:v>300.4351</x:v>
      </x:c>
      <x:c r="H99" s="281" t="n">
        <x:v>1.9124</x:v>
      </x:c>
      <x:c r="I99" s="281" t="n">
        <x:f>F99*'Assumptions'!$B$7*(1+'Assumptions'!$B$9)</x:f>
        <x:v>15.33912</x:v>
      </x:c>
      <x:c r="J99" s="281" t="n">
        <x:f>F99*('Assumptions'!$B$7+'Assumptions'!$B$8)*(1+'Assumptions'!$B$9)</x:f>
        <x:v>46.01736</x:v>
      </x:c>
      <x:c r="K99" s="296" t="n">
        <x:f>MAX(0,ROUNDUP(J99-E99,0))</x:f>
        <x:v>36</x:v>
      </x:c>
      <x:c r="L99" s="298" t="n">
        <x:f>IF(F99=0,"",E99/F99)</x:f>
        <x:v>1.7210896061834056</x:v>
      </x:c>
      <x:c r="M99" s="279" t="str">
        <x:f>IF(F99=0,IF(E99&gt;0,"No recent demand","No demand / no stock"),IF(E99&lt;=I99,"Order now",IF(L99&lt;='Assumptions'!$B$8,"Review soon","Sufficient stock")))</x:f>
        <x:v>Order now</x:v>
      </x:c>
      <x:c r="N99" s="300" t="n">
        <x:f>K99*H99</x:f>
        <x:v>68.8464</x:v>
      </x:c>
    </x:row>
    <x:row r="100" ht="16.5" customHeight="1">
      <x:c r="A100" s="290" t="str">
        <x:v>SKU1424</x:v>
      </x:c>
      <x:c r="B100" s="291" t="str">
        <x:v>Product 1424</x:v>
      </x:c>
      <x:c r="C100" s="291" t="str">
        <x:v>Store B</x:v>
      </x:c>
      <x:c r="D100" s="291" t="str">
        <x:v>Multiple suppliers</x:v>
      </x:c>
      <x:c r="E100" s="292" t="n">
        <x:v>111</x:v>
      </x:c>
      <x:c r="F100" s="292" t="n">
        <x:v>6.3913</x:v>
      </x:c>
      <x:c r="G100" s="293" t="n">
        <x:v>20.5923</x:v>
      </x:c>
      <x:c r="H100" s="293" t="n">
        <x:v>0.0743</x:v>
      </x:c>
      <x:c r="I100" s="293" t="n">
        <x:f>F100*'Assumptions'!$B$7*(1+'Assumptions'!$B$9)</x:f>
        <x:v>15.33912</x:v>
      </x:c>
      <x:c r="J100" s="293" t="n">
        <x:f>F100*('Assumptions'!$B$7+'Assumptions'!$B$8)*(1+'Assumptions'!$B$9)</x:f>
        <x:v>46.01736</x:v>
      </x:c>
      <x:c r="K100" s="295" t="n">
        <x:f>MAX(0,ROUNDUP(J100-E100,0))</x:f>
        <x:v>0</x:v>
      </x:c>
      <x:c r="L100" s="297" t="n">
        <x:f>IF(F100=0,"",E100/F100)</x:f>
        <x:v>17.367358753305275</x:v>
      </x:c>
      <x:c r="M100" s="291" t="str">
        <x:f>IF(F100=0,IF(E100&gt;0,"No recent demand","No demand / no stock"),IF(E100&lt;=I100,"Order now",IF(L100&lt;='Assumptions'!$B$8,"Review soon","Sufficient stock")))</x:f>
        <x:v>Sufficient stock</x:v>
      </x:c>
      <x:c r="N100" s="299" t="n">
        <x:f>K100*H100</x:f>
        <x:v>0</x:v>
      </x:c>
    </x:row>
    <x:row r="101" ht="16.5" customHeight="1">
      <x:c r="A101" s="278" t="str">
        <x:v>SKU1647</x:v>
      </x:c>
      <x:c r="B101" s="279" t="str">
        <x:v>Product 1647</x:v>
      </x:c>
      <x:c r="C101" s="279" t="str">
        <x:v>Store C</x:v>
      </x:c>
      <x:c r="D101" s="279" t="str">
        <x:v>Supplier 75</x:v>
      </x:c>
      <x:c r="E101" s="280" t="n">
        <x:v>19</x:v>
      </x:c>
      <x:c r="F101" s="280" t="n">
        <x:v>6.3913</x:v>
      </x:c>
      <x:c r="G101" s="281" t="n">
        <x:v>143.9552</x:v>
      </x:c>
      <x:c r="H101" s="281" t="n">
        <x:v>1.0458</x:v>
      </x:c>
      <x:c r="I101" s="281" t="n">
        <x:f>F101*'Assumptions'!$B$7*(1+'Assumptions'!$B$9)</x:f>
        <x:v>15.33912</x:v>
      </x:c>
      <x:c r="J101" s="281" t="n">
        <x:f>F101*('Assumptions'!$B$7+'Assumptions'!$B$8)*(1+'Assumptions'!$B$9)</x:f>
        <x:v>46.01736</x:v>
      </x:c>
      <x:c r="K101" s="296" t="n">
        <x:f>MAX(0,ROUNDUP(J101-E101,0))</x:f>
        <x:v>28</x:v>
      </x:c>
      <x:c r="L101" s="298" t="n">
        <x:f>IF(F101=0,"",E101/F101)</x:f>
        <x:v>2.972791137953155</x:v>
      </x:c>
      <x:c r="M101" s="279" t="str">
        <x:f>IF(F101=0,IF(E101&gt;0,"No recent demand","No demand / no stock"),IF(E101&lt;=I101,"Order now",IF(L101&lt;='Assumptions'!$B$8,"Review soon","Sufficient stock")))</x:f>
        <x:v>Review soon</x:v>
      </x:c>
      <x:c r="N101" s="300" t="n">
        <x:f>K101*H101</x:f>
        <x:v>29.282400000000003</x:v>
      </x:c>
    </x:row>
    <x:row r="102" ht="16.5" customHeight="1">
      <x:c r="A102" s="290" t="str">
        <x:v>SKU0438</x:v>
      </x:c>
      <x:c r="B102" s="291" t="str">
        <x:v>Product 0438</x:v>
      </x:c>
      <x:c r="C102" s="291" t="str">
        <x:v>Store A</x:v>
      </x:c>
      <x:c r="D102" s="291" t="str">
        <x:v>Multiple suppliers</x:v>
      </x:c>
      <x:c r="E102" s="292" t="n">
        <x:v>0</x:v>
      </x:c>
      <x:c r="F102" s="292" t="n">
        <x:v>6.3152</x:v>
      </x:c>
      <x:c r="G102" s="293" t="n">
        <x:v>6.889</x:v>
      </x:c>
      <x:c r="H102" s="293" t="n">
        <x:v>0</x:v>
      </x:c>
      <x:c r="I102" s="293" t="n">
        <x:f>F102*'Assumptions'!$B$7*(1+'Assumptions'!$B$9)</x:f>
        <x:v>15.156479999999998</x:v>
      </x:c>
      <x:c r="J102" s="293" t="n">
        <x:f>F102*('Assumptions'!$B$7+'Assumptions'!$B$8)*(1+'Assumptions'!$B$9)</x:f>
        <x:v>45.46944</x:v>
      </x:c>
      <x:c r="K102" s="295" t="n">
        <x:f>MAX(0,ROUNDUP(J102-E102,0))</x:f>
        <x:v>46</x:v>
      </x:c>
      <x:c r="L102" s="297" t="n">
        <x:f>IF(F102=0,"",E102/F102)</x:f>
        <x:v>0</x:v>
      </x:c>
      <x:c r="M102" s="291" t="str">
        <x:f>IF(F102=0,IF(E102&gt;0,"No recent demand","No demand / no stock"),IF(E102&lt;=I102,"Order now",IF(L102&lt;='Assumptions'!$B$8,"Review soon","Sufficient stock")))</x:f>
        <x:v>Order now</x:v>
      </x:c>
      <x:c r="N102" s="299" t="n">
        <x:f>K102*H102</x:f>
        <x:v>0</x:v>
      </x:c>
    </x:row>
    <x:row r="103" ht="16.5" customHeight="1">
      <x:c r="A103" s="278" t="str">
        <x:v>SKU0070</x:v>
      </x:c>
      <x:c r="B103" s="279" t="str">
        <x:v>Product 0070</x:v>
      </x:c>
      <x:c r="C103" s="279" t="str">
        <x:v>Store C</x:v>
      </x:c>
      <x:c r="D103" s="279" t="str">
        <x:v>Supplier 66</x:v>
      </x:c>
      <x:c r="E103" s="280" t="n">
        <x:v>39</x:v>
      </x:c>
      <x:c r="F103" s="280" t="n">
        <x:v>6.2391</x:v>
      </x:c>
      <x:c r="G103" s="281" t="n">
        <x:v>127.8947</x:v>
      </x:c>
      <x:c r="H103" s="281" t="n">
        <x:v>0.6225</x:v>
      </x:c>
      <x:c r="I103" s="281" t="n">
        <x:f>F103*'Assumptions'!$B$7*(1+'Assumptions'!$B$9)</x:f>
        <x:v>14.97384</x:v>
      </x:c>
      <x:c r="J103" s="281" t="n">
        <x:f>F103*('Assumptions'!$B$7+'Assumptions'!$B$8)*(1+'Assumptions'!$B$9)</x:f>
        <x:v>44.921519999999994</x:v>
      </x:c>
      <x:c r="K103" s="296" t="n">
        <x:f>MAX(0,ROUNDUP(J103-E103,0))</x:f>
        <x:v>6</x:v>
      </x:c>
      <x:c r="L103" s="298" t="n">
        <x:f>IF(F103=0,"",E103/F103)</x:f>
        <x:v>6.2509015723421655</x:v>
      </x:c>
      <x:c r="M103" s="279" t="str">
        <x:f>IF(F103=0,IF(E103&gt;0,"No recent demand","No demand / no stock"),IF(E103&lt;=I103,"Order now",IF(L103&lt;='Assumptions'!$B$8,"Review soon","Sufficient stock")))</x:f>
        <x:v>Sufficient stock</x:v>
      </x:c>
      <x:c r="N103" s="300" t="n">
        <x:f>K103*H103</x:f>
        <x:v>3.7350000000000003</x:v>
      </x:c>
    </x:row>
    <x:row r="104" ht="16.5" customHeight="1">
      <x:c r="A104" s="290" t="str">
        <x:v>SKU0801</x:v>
      </x:c>
      <x:c r="B104" s="291" t="str">
        <x:v>Product 0801</x:v>
      </x:c>
      <x:c r="C104" s="291" t="str">
        <x:v>Store C</x:v>
      </x:c>
      <x:c r="D104" s="291" t="str">
        <x:v>Supplier 66</x:v>
      </x:c>
      <x:c r="E104" s="292" t="n">
        <x:v>46</x:v>
      </x:c>
      <x:c r="F104" s="292" t="n">
        <x:v>6.2391</x:v>
      </x:c>
      <x:c r="G104" s="293" t="n">
        <x:v>128.3678</x:v>
      </x:c>
      <x:c r="H104" s="293" t="n">
        <x:v>0.6225</x:v>
      </x:c>
      <x:c r="I104" s="293" t="n">
        <x:f>F104*'Assumptions'!$B$7*(1+'Assumptions'!$B$9)</x:f>
        <x:v>14.97384</x:v>
      </x:c>
      <x:c r="J104" s="293" t="n">
        <x:f>F104*('Assumptions'!$B$7+'Assumptions'!$B$8)*(1+'Assumptions'!$B$9)</x:f>
        <x:v>44.921519999999994</x:v>
      </x:c>
      <x:c r="K104" s="295" t="n">
        <x:f>MAX(0,ROUNDUP(J104-E104,0))</x:f>
        <x:v>0</x:v>
      </x:c>
      <x:c r="L104" s="297" t="n">
        <x:f>IF(F104=0,"",E104/F104)</x:f>
        <x:v>7.372858264813836</x:v>
      </x:c>
      <x:c r="M104" s="291" t="str">
        <x:f>IF(F104=0,IF(E104&gt;0,"No recent demand","No demand / no stock"),IF(E104&lt;=I104,"Order now",IF(L104&lt;='Assumptions'!$B$8,"Review soon","Sufficient stock")))</x:f>
        <x:v>Sufficient stock</x:v>
      </x:c>
      <x:c r="N104" s="299" t="n">
        <x:f>K104*H104</x:f>
        <x:v>0</x:v>
      </x:c>
    </x:row>
    <x:row r="105" ht="16.5" customHeight="1">
      <x:c r="A105" s="278" t="str">
        <x:v>SKU1416</x:v>
      </x:c>
      <x:c r="B105" s="279" t="str">
        <x:v>Product 1416</x:v>
      </x:c>
      <x:c r="C105" s="279" t="str">
        <x:v>Store A</x:v>
      </x:c>
      <x:c r="D105" s="279" t="str">
        <x:v>Multiple suppliers</x:v>
      </x:c>
      <x:c r="E105" s="280" t="n">
        <x:v>3</x:v>
      </x:c>
      <x:c r="F105" s="280" t="n">
        <x:v>6.2391</x:v>
      </x:c>
      <x:c r="G105" s="281" t="n">
        <x:v>87.1832</x:v>
      </x:c>
      <x:c r="H105" s="281" t="n">
        <x:v>0.4777</x:v>
      </x:c>
      <x:c r="I105" s="281" t="n">
        <x:f>F105*'Assumptions'!$B$7*(1+'Assumptions'!$B$9)</x:f>
        <x:v>14.97384</x:v>
      </x:c>
      <x:c r="J105" s="281" t="n">
        <x:f>F105*('Assumptions'!$B$7+'Assumptions'!$B$8)*(1+'Assumptions'!$B$9)</x:f>
        <x:v>44.921519999999994</x:v>
      </x:c>
      <x:c r="K105" s="296" t="n">
        <x:f>MAX(0,ROUNDUP(J105-E105,0))</x:f>
        <x:v>42</x:v>
      </x:c>
      <x:c r="L105" s="298" t="n">
        <x:f>IF(F105=0,"",E105/F105)</x:f>
        <x:v>0.4808385824878589</x:v>
      </x:c>
      <x:c r="M105" s="279" t="str">
        <x:f>IF(F105=0,IF(E105&gt;0,"No recent demand","No demand / no stock"),IF(E105&lt;=I105,"Order now",IF(L105&lt;='Assumptions'!$B$8,"Review soon","Sufficient stock")))</x:f>
        <x:v>Order now</x:v>
      </x:c>
      <x:c r="N105" s="300" t="n">
        <x:f>K105*H105</x:f>
        <x:v>20.0634</x:v>
      </x:c>
    </x:row>
    <x:row r="106" ht="16.5" customHeight="1">
      <x:c r="A106" s="290" t="str">
        <x:v>SKU1106</x:v>
      </x:c>
      <x:c r="B106" s="291" t="str">
        <x:v>Product 1106</x:v>
      </x:c>
      <x:c r="C106" s="291" t="str">
        <x:v>Store C</x:v>
      </x:c>
      <x:c r="D106" s="291" t="str">
        <x:v>Supplier 19</x:v>
      </x:c>
      <x:c r="E106" s="292" t="n">
        <x:v>97</x:v>
      </x:c>
      <x:c r="F106" s="292" t="n">
        <x:v>6.163</x:v>
      </x:c>
      <x:c r="G106" s="293" t="n">
        <x:v>13.363</x:v>
      </x:c>
      <x:c r="H106" s="293" t="n">
        <x:v>0.0415</x:v>
      </x:c>
      <x:c r="I106" s="293" t="n">
        <x:f>F106*'Assumptions'!$B$7*(1+'Assumptions'!$B$9)</x:f>
        <x:v>14.7912</x:v>
      </x:c>
      <x:c r="J106" s="293" t="n">
        <x:f>F106*('Assumptions'!$B$7+'Assumptions'!$B$8)*(1+'Assumptions'!$B$9)</x:f>
        <x:v>44.3736</x:v>
      </x:c>
      <x:c r="K106" s="295" t="n">
        <x:f>MAX(0,ROUNDUP(J106-E106,0))</x:f>
        <x:v>0</x:v>
      </x:c>
      <x:c r="L106" s="297" t="n">
        <x:f>IF(F106=0,"",E106/F106)</x:f>
        <x:v>15.739088106441667</x:v>
      </x:c>
      <x:c r="M106" s="291" t="str">
        <x:f>IF(F106=0,IF(E106&gt;0,"No recent demand","No demand / no stock"),IF(E106&lt;=I106,"Order now",IF(L106&lt;='Assumptions'!$B$8,"Review soon","Sufficient stock")))</x:f>
        <x:v>Sufficient stock</x:v>
      </x:c>
      <x:c r="N106" s="299" t="n">
        <x:f>K106*H106</x:f>
        <x:v>0</x:v>
      </x:c>
    </x:row>
    <x:row r="107" ht="16.5" customHeight="1">
      <x:c r="A107" s="278" t="str">
        <x:v>SKU1216</x:v>
      </x:c>
      <x:c r="B107" s="279" t="str">
        <x:v>Product 1216</x:v>
      </x:c>
      <x:c r="C107" s="279" t="str">
        <x:v>Store B</x:v>
      </x:c>
      <x:c r="D107" s="279" t="str">
        <x:v>Multiple suppliers</x:v>
      </x:c>
      <x:c r="E107" s="280" t="n">
        <x:v>13</x:v>
      </x:c>
      <x:c r="F107" s="280" t="n">
        <x:v>6.087</x:v>
      </x:c>
      <x:c r="G107" s="281" t="n">
        <x:v>92.1466</x:v>
      </x:c>
      <x:c r="H107" s="281" t="n">
        <x:v>0.4731</x:v>
      </x:c>
      <x:c r="I107" s="281" t="n">
        <x:f>F107*'Assumptions'!$B$7*(1+'Assumptions'!$B$9)</x:f>
        <x:v>14.608799999999999</x:v>
      </x:c>
      <x:c r="J107" s="281" t="n">
        <x:f>F107*('Assumptions'!$B$7+'Assumptions'!$B$8)*(1+'Assumptions'!$B$9)</x:f>
        <x:v>43.8264</x:v>
      </x:c>
      <x:c r="K107" s="296" t="n">
        <x:f>MAX(0,ROUNDUP(J107-E107,0))</x:f>
        <x:v>31</x:v>
      </x:c>
      <x:c r="L107" s="298" t="n">
        <x:f>IF(F107=0,"",E107/F107)</x:f>
        <x:v>2.1356990307212094</x:v>
      </x:c>
      <x:c r="M107" s="279" t="str">
        <x:f>IF(F107=0,IF(E107&gt;0,"No recent demand","No demand / no stock"),IF(E107&lt;=I107,"Order now",IF(L107&lt;='Assumptions'!$B$8,"Review soon","Sufficient stock")))</x:f>
        <x:v>Order now</x:v>
      </x:c>
      <x:c r="N107" s="300" t="n">
        <x:f>K107*H107</x:f>
        <x:v>14.6661</x:v>
      </x:c>
    </x:row>
    <x:row r="108" ht="16.5" customHeight="1">
      <x:c r="A108" s="290" t="str">
        <x:v>SKU1323</x:v>
      </x:c>
      <x:c r="B108" s="291" t="str">
        <x:v>Product 1323</x:v>
      </x:c>
      <x:c r="C108" s="291" t="str">
        <x:v>Store C</x:v>
      </x:c>
      <x:c r="D108" s="291" t="str">
        <x:v>Supplier 03</x:v>
      </x:c>
      <x:c r="E108" s="292" t="n">
        <x:v>0</x:v>
      </x:c>
      <x:c r="F108" s="292" t="n">
        <x:v>6.087</x:v>
      </x:c>
      <x:c r="G108" s="293" t="n">
        <x:v>111.7512</x:v>
      </x:c>
      <x:c r="H108" s="293" t="n">
        <x:v>0</x:v>
      </x:c>
      <x:c r="I108" s="293" t="n">
        <x:f>F108*'Assumptions'!$B$7*(1+'Assumptions'!$B$9)</x:f>
        <x:v>14.608799999999999</x:v>
      </x:c>
      <x:c r="J108" s="293" t="n">
        <x:f>F108*('Assumptions'!$B$7+'Assumptions'!$B$8)*(1+'Assumptions'!$B$9)</x:f>
        <x:v>43.8264</x:v>
      </x:c>
      <x:c r="K108" s="295" t="n">
        <x:f>MAX(0,ROUNDUP(J108-E108,0))</x:f>
        <x:v>44</x:v>
      </x:c>
      <x:c r="L108" s="297" t="n">
        <x:f>IF(F108=0,"",E108/F108)</x:f>
        <x:v>0</x:v>
      </x:c>
      <x:c r="M108" s="291" t="str">
        <x:f>IF(F108=0,IF(E108&gt;0,"No recent demand","No demand / no stock"),IF(E108&lt;=I108,"Order now",IF(L108&lt;='Assumptions'!$B$8,"Review soon","Sufficient stock")))</x:f>
        <x:v>Order now</x:v>
      </x:c>
      <x:c r="N108" s="299" t="n">
        <x:f>K108*H108</x:f>
        <x:v>0</x:v>
      </x:c>
    </x:row>
    <x:row r="109" ht="16.5" customHeight="1">
      <x:c r="A109" s="278" t="str">
        <x:v>SKU1327</x:v>
      </x:c>
      <x:c r="B109" s="279" t="str">
        <x:v>Product 1327</x:v>
      </x:c>
      <x:c r="C109" s="279" t="str">
        <x:v>Store C</x:v>
      </x:c>
      <x:c r="D109" s="279" t="str">
        <x:v>Supplier 03</x:v>
      </x:c>
      <x:c r="E109" s="280" t="n">
        <x:v>0</x:v>
      </x:c>
      <x:c r="F109" s="280" t="n">
        <x:v>6.087</x:v>
      </x:c>
      <x:c r="G109" s="281" t="n">
        <x:v>112.5978</x:v>
      </x:c>
      <x:c r="H109" s="281" t="n">
        <x:v>0</x:v>
      </x:c>
      <x:c r="I109" s="281" t="n">
        <x:f>F109*'Assumptions'!$B$7*(1+'Assumptions'!$B$9)</x:f>
        <x:v>14.608799999999999</x:v>
      </x:c>
      <x:c r="J109" s="281" t="n">
        <x:f>F109*('Assumptions'!$B$7+'Assumptions'!$B$8)*(1+'Assumptions'!$B$9)</x:f>
        <x:v>43.8264</x:v>
      </x:c>
      <x:c r="K109" s="296" t="n">
        <x:f>MAX(0,ROUNDUP(J109-E109,0))</x:f>
        <x:v>44</x:v>
      </x:c>
      <x:c r="L109" s="298" t="n">
        <x:f>IF(F109=0,"",E109/F109)</x:f>
        <x:v>0</x:v>
      </x:c>
      <x:c r="M109" s="279" t="str">
        <x:f>IF(F109=0,IF(E109&gt;0,"No recent demand","No demand / no stock"),IF(E109&lt;=I109,"Order now",IF(L109&lt;='Assumptions'!$B$8,"Review soon","Sufficient stock")))</x:f>
        <x:v>Order now</x:v>
      </x:c>
      <x:c r="N109" s="300" t="n">
        <x:f>K109*H109</x:f>
        <x:v>0</x:v>
      </x:c>
    </x:row>
    <x:row r="110" ht="16.5" customHeight="1">
      <x:c r="A110" s="290" t="str">
        <x:v>SKU1365</x:v>
      </x:c>
      <x:c r="B110" s="291" t="str">
        <x:v>Product 1365</x:v>
      </x:c>
      <x:c r="C110" s="291" t="str">
        <x:v>Store C</x:v>
      </x:c>
      <x:c r="D110" s="291" t="str">
        <x:v>Supplier 59</x:v>
      </x:c>
      <x:c r="E110" s="292" t="n">
        <x:v>3</x:v>
      </x:c>
      <x:c r="F110" s="292" t="n">
        <x:v>6.087</x:v>
      </x:c>
      <x:c r="G110" s="293" t="n">
        <x:v>25.9956</x:v>
      </x:c>
      <x:c r="H110" s="293" t="n">
        <x:v>0.1411</x:v>
      </x:c>
      <x:c r="I110" s="293" t="n">
        <x:f>F110*'Assumptions'!$B$7*(1+'Assumptions'!$B$9)</x:f>
        <x:v>14.608799999999999</x:v>
      </x:c>
      <x:c r="J110" s="293" t="n">
        <x:f>F110*('Assumptions'!$B$7+'Assumptions'!$B$8)*(1+'Assumptions'!$B$9)</x:f>
        <x:v>43.8264</x:v>
      </x:c>
      <x:c r="K110" s="295" t="n">
        <x:f>MAX(0,ROUNDUP(J110-E110,0))</x:f>
        <x:v>41</x:v>
      </x:c>
      <x:c r="L110" s="297" t="n">
        <x:f>IF(F110=0,"",E110/F110)</x:f>
        <x:v>0.49285362247412523</x:v>
      </x:c>
      <x:c r="M110" s="291" t="str">
        <x:f>IF(F110=0,IF(E110&gt;0,"No recent demand","No demand / no stock"),IF(E110&lt;=I110,"Order now",IF(L110&lt;='Assumptions'!$B$8,"Review soon","Sufficient stock")))</x:f>
        <x:v>Order now</x:v>
      </x:c>
      <x:c r="N110" s="299" t="n">
        <x:f>K110*H110</x:f>
        <x:v>5.7851</x:v>
      </x:c>
    </x:row>
    <x:row r="111" ht="16.5" customHeight="1">
      <x:c r="A111" s="278" t="str">
        <x:v>SKU0803</x:v>
      </x:c>
      <x:c r="B111" s="279" t="str">
        <x:v>Product 0803</x:v>
      </x:c>
      <x:c r="C111" s="279" t="str">
        <x:v>Store A</x:v>
      </x:c>
      <x:c r="D111" s="279" t="str">
        <x:v>Supplier 66</x:v>
      </x:c>
      <x:c r="E111" s="280" t="n">
        <x:v>0</x:v>
      </x:c>
      <x:c r="F111" s="280" t="n">
        <x:v>6.0109</x:v>
      </x:c>
      <x:c r="G111" s="281" t="n">
        <x:v>103.1856</x:v>
      </x:c>
      <x:c r="H111" s="281" t="n">
        <x:v>0.2407</x:v>
      </x:c>
      <x:c r="I111" s="281" t="n">
        <x:f>F111*'Assumptions'!$B$7*(1+'Assumptions'!$B$9)</x:f>
        <x:v>14.42616</x:v>
      </x:c>
      <x:c r="J111" s="281" t="n">
        <x:f>F111*('Assumptions'!$B$7+'Assumptions'!$B$8)*(1+'Assumptions'!$B$9)</x:f>
        <x:v>43.27848</x:v>
      </x:c>
      <x:c r="K111" s="296" t="n">
        <x:f>MAX(0,ROUNDUP(J111-E111,0))</x:f>
        <x:v>44</x:v>
      </x:c>
      <x:c r="L111" s="298" t="n">
        <x:f>IF(F111=0,"",E111/F111)</x:f>
        <x:v>0</x:v>
      </x:c>
      <x:c r="M111" s="279" t="str">
        <x:f>IF(F111=0,IF(E111&gt;0,"No recent demand","No demand / no stock"),IF(E111&lt;=I111,"Order now",IF(L111&lt;='Assumptions'!$B$8,"Review soon","Sufficient stock")))</x:f>
        <x:v>Order now</x:v>
      </x:c>
      <x:c r="N111" s="300" t="n">
        <x:f>K111*H111</x:f>
        <x:v>10.5908</x:v>
      </x:c>
    </x:row>
    <x:row r="112" ht="16.5" customHeight="1">
      <x:c r="A112" s="290" t="str">
        <x:v>SKU0906</x:v>
      </x:c>
      <x:c r="B112" s="291" t="str">
        <x:v>Product 0906</x:v>
      </x:c>
      <x:c r="C112" s="291" t="str">
        <x:v>Store C</x:v>
      </x:c>
      <x:c r="D112" s="291" t="str">
        <x:v>Supplier 69</x:v>
      </x:c>
      <x:c r="E112" s="292" t="n">
        <x:v>7</x:v>
      </x:c>
      <x:c r="F112" s="292" t="n">
        <x:v>6.0109</x:v>
      </x:c>
      <x:c r="G112" s="293" t="n">
        <x:v>178.8152</x:v>
      </x:c>
      <x:c r="H112" s="293" t="n">
        <x:v>0.7055</x:v>
      </x:c>
      <x:c r="I112" s="293" t="n">
        <x:f>F112*'Assumptions'!$B$7*(1+'Assumptions'!$B$9)</x:f>
        <x:v>14.42616</x:v>
      </x:c>
      <x:c r="J112" s="293" t="n">
        <x:f>F112*('Assumptions'!$B$7+'Assumptions'!$B$8)*(1+'Assumptions'!$B$9)</x:f>
        <x:v>43.27848</x:v>
      </x:c>
      <x:c r="K112" s="295" t="n">
        <x:f>MAX(0,ROUNDUP(J112-E112,0))</x:f>
        <x:v>37</x:v>
      </x:c>
      <x:c r="L112" s="297" t="n">
        <x:f>IF(F112=0,"",E112/F112)</x:f>
        <x:v>1.1645510655642248</x:v>
      </x:c>
      <x:c r="M112" s="291" t="str">
        <x:f>IF(F112=0,IF(E112&gt;0,"No recent demand","No demand / no stock"),IF(E112&lt;=I112,"Order now",IF(L112&lt;='Assumptions'!$B$8,"Review soon","Sufficient stock")))</x:f>
        <x:v>Order now</x:v>
      </x:c>
      <x:c r="N112" s="299" t="n">
        <x:f>K112*H112</x:f>
        <x:v>26.1035</x:v>
      </x:c>
    </x:row>
    <x:row r="113" ht="16.5" customHeight="1">
      <x:c r="A113" s="278" t="str">
        <x:v>SKU0878</x:v>
      </x:c>
      <x:c r="B113" s="279" t="str">
        <x:v>Product 0878</x:v>
      </x:c>
      <x:c r="C113" s="279" t="str">
        <x:v>Store B</x:v>
      </x:c>
      <x:c r="D113" s="279" t="str">
        <x:v>Supplier 19</x:v>
      </x:c>
      <x:c r="E113" s="280" t="n">
        <x:v>29</x:v>
      </x:c>
      <x:c r="F113" s="280" t="n">
        <x:v>5.9348</x:v>
      </x:c>
      <x:c r="G113" s="281" t="n">
        <x:v>32.0712</x:v>
      </x:c>
      <x:c r="H113" s="281" t="n">
        <x:v>0.1992</x:v>
      </x:c>
      <x:c r="I113" s="281" t="n">
        <x:f>F113*'Assumptions'!$B$7*(1+'Assumptions'!$B$9)</x:f>
        <x:v>14.24352</x:v>
      </x:c>
      <x:c r="J113" s="281" t="n">
        <x:f>F113*('Assumptions'!$B$7+'Assumptions'!$B$8)*(1+'Assumptions'!$B$9)</x:f>
        <x:v>42.730560000000004</x:v>
      </x:c>
      <x:c r="K113" s="296" t="n">
        <x:f>MAX(0,ROUNDUP(J113-E113,0))</x:f>
        <x:v>14</x:v>
      </x:c>
      <x:c r="L113" s="298" t="n">
        <x:f>IF(F113=0,"",E113/F113)</x:f>
        <x:v>4.886432567230572</x:v>
      </x:c>
      <x:c r="M113" s="279" t="str">
        <x:f>IF(F113=0,IF(E113&gt;0,"No recent demand","No demand / no stock"),IF(E113&lt;=I113,"Order now",IF(L113&lt;='Assumptions'!$B$8,"Review soon","Sufficient stock")))</x:f>
        <x:v>Sufficient stock</x:v>
      </x:c>
      <x:c r="N113" s="300" t="n">
        <x:f>K113*H113</x:f>
        <x:v>2.7887999999999997</x:v>
      </x:c>
    </x:row>
    <x:row r="114" ht="16.5" customHeight="1">
      <x:c r="A114" s="290" t="str">
        <x:v>SKU0980</x:v>
      </x:c>
      <x:c r="B114" s="291" t="str">
        <x:v>Product 0980</x:v>
      </x:c>
      <x:c r="C114" s="291" t="str">
        <x:v>Store C</x:v>
      </x:c>
      <x:c r="D114" s="291" t="str">
        <x:v>Supplier 22</x:v>
      </x:c>
      <x:c r="E114" s="292" t="n">
        <x:v>0</x:v>
      </x:c>
      <x:c r="F114" s="292" t="n">
        <x:v>5.9348</x:v>
      </x:c>
      <x:c r="G114" s="293" t="n">
        <x:v>29.5065</x:v>
      </x:c>
      <x:c r="H114" s="293" t="n">
        <x:v>0.3072</x:v>
      </x:c>
      <x:c r="I114" s="293" t="n">
        <x:f>F114*'Assumptions'!$B$7*(1+'Assumptions'!$B$9)</x:f>
        <x:v>14.24352</x:v>
      </x:c>
      <x:c r="J114" s="293" t="n">
        <x:f>F114*('Assumptions'!$B$7+'Assumptions'!$B$8)*(1+'Assumptions'!$B$9)</x:f>
        <x:v>42.730560000000004</x:v>
      </x:c>
      <x:c r="K114" s="295" t="n">
        <x:f>MAX(0,ROUNDUP(J114-E114,0))</x:f>
        <x:v>43</x:v>
      </x:c>
      <x:c r="L114" s="297" t="n">
        <x:f>IF(F114=0,"",E114/F114)</x:f>
        <x:v>0</x:v>
      </x:c>
      <x:c r="M114" s="291" t="str">
        <x:f>IF(F114=0,IF(E114&gt;0,"No recent demand","No demand / no stock"),IF(E114&lt;=I114,"Order now",IF(L114&lt;='Assumptions'!$B$8,"Review soon","Sufficient stock")))</x:f>
        <x:v>Order now</x:v>
      </x:c>
      <x:c r="N114" s="299" t="n">
        <x:f>K114*H114</x:f>
        <x:v>13.209599999999998</x:v>
      </x:c>
    </x:row>
    <x:row r="115" ht="16.5" customHeight="1">
      <x:c r="A115" s="278" t="str">
        <x:v>SKU1436</x:v>
      </x:c>
      <x:c r="B115" s="279" t="str">
        <x:v>Product 1436</x:v>
      </x:c>
      <x:c r="C115" s="279" t="str">
        <x:v>Store C</x:v>
      </x:c>
      <x:c r="D115" s="279" t="str">
        <x:v>Multiple suppliers</x:v>
      </x:c>
      <x:c r="E115" s="280" t="n">
        <x:v>60</x:v>
      </x:c>
      <x:c r="F115" s="280" t="n">
        <x:v>5.9348</x:v>
      </x:c>
      <x:c r="G115" s="281" t="n">
        <x:v>19.3224</x:v>
      </x:c>
      <x:c r="H115" s="281" t="n">
        <x:v>0.0743</x:v>
      </x:c>
      <x:c r="I115" s="281" t="n">
        <x:f>F115*'Assumptions'!$B$7*(1+'Assumptions'!$B$9)</x:f>
        <x:v>14.24352</x:v>
      </x:c>
      <x:c r="J115" s="281" t="n">
        <x:f>F115*('Assumptions'!$B$7+'Assumptions'!$B$8)*(1+'Assumptions'!$B$9)</x:f>
        <x:v>42.730560000000004</x:v>
      </x:c>
      <x:c r="K115" s="296" t="n">
        <x:f>MAX(0,ROUNDUP(J115-E115,0))</x:f>
        <x:v>0</x:v>
      </x:c>
      <x:c r="L115" s="298" t="n">
        <x:f>IF(F115=0,"",E115/F115)</x:f>
        <x:v>10.109860483925322</x:v>
      </x:c>
      <x:c r="M115" s="279" t="str">
        <x:f>IF(F115=0,IF(E115&gt;0,"No recent demand","No demand / no stock"),IF(E115&lt;=I115,"Order now",IF(L115&lt;='Assumptions'!$B$8,"Review soon","Sufficient stock")))</x:f>
        <x:v>Sufficient stock</x:v>
      </x:c>
      <x:c r="N115" s="300" t="n">
        <x:f>K115*H115</x:f>
        <x:v>0</x:v>
      </x:c>
    </x:row>
    <x:row r="116" ht="16.5" customHeight="1">
      <x:c r="A116" s="290" t="str">
        <x:v>SKU0081</x:v>
      </x:c>
      <x:c r="B116" s="291" t="str">
        <x:v>Product 0081</x:v>
      </x:c>
      <x:c r="C116" s="291" t="str">
        <x:v>Store C</x:v>
      </x:c>
      <x:c r="D116" s="291" t="str">
        <x:v>Supplier 66</x:v>
      </x:c>
      <x:c r="E116" s="292" t="n">
        <x:v>0</x:v>
      </x:c>
      <x:c r="F116" s="292" t="n">
        <x:v>5.8587</x:v>
      </x:c>
      <x:c r="G116" s="293" t="n">
        <x:v>71.546</x:v>
      </x:c>
      <x:c r="H116" s="293" t="n">
        <x:v>0.6225</x:v>
      </x:c>
      <x:c r="I116" s="293" t="n">
        <x:f>F116*'Assumptions'!$B$7*(1+'Assumptions'!$B$9)</x:f>
        <x:v>14.06088</x:v>
      </x:c>
      <x:c r="J116" s="293" t="n">
        <x:f>F116*('Assumptions'!$B$7+'Assumptions'!$B$8)*(1+'Assumptions'!$B$9)</x:f>
        <x:v>42.18264</x:v>
      </x:c>
      <x:c r="K116" s="295" t="n">
        <x:f>MAX(0,ROUNDUP(J116-E116,0))</x:f>
        <x:v>43</x:v>
      </x:c>
      <x:c r="L116" s="297" t="n">
        <x:f>IF(F116=0,"",E116/F116)</x:f>
        <x:v>0</x:v>
      </x:c>
      <x:c r="M116" s="291" t="str">
        <x:f>IF(F116=0,IF(E116&gt;0,"No recent demand","No demand / no stock"),IF(E116&lt;=I116,"Order now",IF(L116&lt;='Assumptions'!$B$8,"Review soon","Sufficient stock")))</x:f>
        <x:v>Order now</x:v>
      </x:c>
      <x:c r="N116" s="299" t="n">
        <x:f>K116*H116</x:f>
        <x:v>26.767500000000002</x:v>
      </x:c>
    </x:row>
    <x:row r="117" ht="16.5" customHeight="1">
      <x:c r="A117" s="278" t="str">
        <x:v>SKU0247</x:v>
      </x:c>
      <x:c r="B117" s="279" t="str">
        <x:v>Product 0247</x:v>
      </x:c>
      <x:c r="C117" s="279" t="str">
        <x:v>Store A</x:v>
      </x:c>
      <x:c r="D117" s="279" t="str">
        <x:v>Multiple suppliers</x:v>
      </x:c>
      <x:c r="E117" s="280" t="n">
        <x:v>15</x:v>
      </x:c>
      <x:c r="F117" s="280" t="n">
        <x:v>5.8587</x:v>
      </x:c>
      <x:c r="G117" s="281" t="n">
        <x:v>99.6913</x:v>
      </x:c>
      <x:c r="H117" s="281" t="n">
        <x:v>0.679</x:v>
      </x:c>
      <x:c r="I117" s="281" t="n">
        <x:f>F117*'Assumptions'!$B$7*(1+'Assumptions'!$B$9)</x:f>
        <x:v>14.06088</x:v>
      </x:c>
      <x:c r="J117" s="281" t="n">
        <x:f>F117*('Assumptions'!$B$7+'Assumptions'!$B$8)*(1+'Assumptions'!$B$9)</x:f>
        <x:v>42.18264</x:v>
      </x:c>
      <x:c r="K117" s="296" t="n">
        <x:f>MAX(0,ROUNDUP(J117-E117,0))</x:f>
        <x:v>28</x:v>
      </x:c>
      <x:c r="L117" s="298" t="n">
        <x:f>IF(F117=0,"",E117/F117)</x:f>
        <x:v>2.560294945977777</x:v>
      </x:c>
      <x:c r="M117" s="279" t="str">
        <x:f>IF(F117=0,IF(E117&gt;0,"No recent demand","No demand / no stock"),IF(E117&lt;=I117,"Order now",IF(L117&lt;='Assumptions'!$B$8,"Review soon","Sufficient stock")))</x:f>
        <x:v>Review soon</x:v>
      </x:c>
      <x:c r="N117" s="300" t="n">
        <x:f>K117*H117</x:f>
        <x:v>19.012</x:v>
      </x:c>
    </x:row>
    <x:row r="118" ht="16.5" customHeight="1">
      <x:c r="A118" s="290" t="str">
        <x:v>SKU1416</x:v>
      </x:c>
      <x:c r="B118" s="291" t="str">
        <x:v>Product 1416</x:v>
      </x:c>
      <x:c r="C118" s="291" t="str">
        <x:v>Store B</x:v>
      </x:c>
      <x:c r="D118" s="291" t="str">
        <x:v>Multiple suppliers</x:v>
      </x:c>
      <x:c r="E118" s="292" t="n">
        <x:v>6</x:v>
      </x:c>
      <x:c r="F118" s="292" t="n">
        <x:v>5.8587</x:v>
      </x:c>
      <x:c r="G118" s="293" t="n">
        <x:v>82.1119</x:v>
      </x:c>
      <x:c r="H118" s="293" t="n">
        <x:v>0.4777</x:v>
      </x:c>
      <x:c r="I118" s="293" t="n">
        <x:f>F118*'Assumptions'!$B$7*(1+'Assumptions'!$B$9)</x:f>
        <x:v>14.06088</x:v>
      </x:c>
      <x:c r="J118" s="293" t="n">
        <x:f>F118*('Assumptions'!$B$7+'Assumptions'!$B$8)*(1+'Assumptions'!$B$9)</x:f>
        <x:v>42.18264</x:v>
      </x:c>
      <x:c r="K118" s="295" t="n">
        <x:f>MAX(0,ROUNDUP(J118-E118,0))</x:f>
        <x:v>37</x:v>
      </x:c>
      <x:c r="L118" s="297" t="n">
        <x:f>IF(F118=0,"",E118/F118)</x:f>
        <x:v>1.0241179783911107</x:v>
      </x:c>
      <x:c r="M118" s="291" t="str">
        <x:f>IF(F118=0,IF(E118&gt;0,"No recent demand","No demand / no stock"),IF(E118&lt;=I118,"Order now",IF(L118&lt;='Assumptions'!$B$8,"Review soon","Sufficient stock")))</x:f>
        <x:v>Order now</x:v>
      </x:c>
      <x:c r="N118" s="299" t="n">
        <x:f>K118*H118</x:f>
        <x:v>17.6749</x:v>
      </x:c>
    </x:row>
    <x:row r="119" ht="16.5" customHeight="1">
      <x:c r="A119" s="278" t="str">
        <x:v>SKU1685</x:v>
      </x:c>
      <x:c r="B119" s="279" t="str">
        <x:v>Product 1685</x:v>
      </x:c>
      <x:c r="C119" s="279" t="str">
        <x:v>Store C</x:v>
      </x:c>
      <x:c r="D119" s="279" t="str">
        <x:v>Supplier 42</x:v>
      </x:c>
      <x:c r="E119" s="280" t="n">
        <x:v>0</x:v>
      </x:c>
      <x:c r="F119" s="280" t="n">
        <x:v>5.8587</x:v>
      </x:c>
      <x:c r="G119" s="281" t="n">
        <x:v>103.418</x:v>
      </x:c>
      <x:c r="H119" s="281" t="n">
        <x:v>0.996</x:v>
      </x:c>
      <x:c r="I119" s="281" t="n">
        <x:f>F119*'Assumptions'!$B$7*(1+'Assumptions'!$B$9)</x:f>
        <x:v>14.06088</x:v>
      </x:c>
      <x:c r="J119" s="281" t="n">
        <x:f>F119*('Assumptions'!$B$7+'Assumptions'!$B$8)*(1+'Assumptions'!$B$9)</x:f>
        <x:v>42.18264</x:v>
      </x:c>
      <x:c r="K119" s="296" t="n">
        <x:f>MAX(0,ROUNDUP(J119-E119,0))</x:f>
        <x:v>43</x:v>
      </x:c>
      <x:c r="L119" s="298" t="n">
        <x:f>IF(F119=0,"",E119/F119)</x:f>
        <x:v>0</x:v>
      </x:c>
      <x:c r="M119" s="279" t="str">
        <x:f>IF(F119=0,IF(E119&gt;0,"No recent demand","No demand / no stock"),IF(E119&lt;=I119,"Order now",IF(L119&lt;='Assumptions'!$B$8,"Review soon","Sufficient stock")))</x:f>
        <x:v>Order now</x:v>
      </x:c>
      <x:c r="N119" s="300" t="n">
        <x:f>K119*H119</x:f>
        <x:v>42.828</x:v>
      </x:c>
    </x:row>
    <x:row r="120" ht="16.5" customHeight="1">
      <x:c r="A120" s="290" t="str">
        <x:v>SKU0123</x:v>
      </x:c>
      <x:c r="B120" s="291" t="str">
        <x:v>Product 0123</x:v>
      </x:c>
      <x:c r="C120" s="291" t="str">
        <x:v>Store C</x:v>
      </x:c>
      <x:c r="D120" s="291" t="str">
        <x:v>Supplier 05</x:v>
      </x:c>
      <x:c r="E120" s="292" t="n">
        <x:v>1</x:v>
      </x:c>
      <x:c r="F120" s="292" t="n">
        <x:v>5.7826</x:v>
      </x:c>
      <x:c r="G120" s="293" t="n">
        <x:v>88.1958</x:v>
      </x:c>
      <x:c r="H120" s="293" t="n">
        <x:v>0.3652</x:v>
      </x:c>
      <x:c r="I120" s="293" t="n">
        <x:f>F120*'Assumptions'!$B$7*(1+'Assumptions'!$B$9)</x:f>
        <x:v>13.87824</x:v>
      </x:c>
      <x:c r="J120" s="293" t="n">
        <x:f>F120*('Assumptions'!$B$7+'Assumptions'!$B$8)*(1+'Assumptions'!$B$9)</x:f>
        <x:v>41.634719999999994</x:v>
      </x:c>
      <x:c r="K120" s="295" t="n">
        <x:f>MAX(0,ROUNDUP(J120-E120,0))</x:f>
        <x:v>41</x:v>
      </x:c>
      <x:c r="L120" s="297" t="n">
        <x:f>IF(F120=0,"",E120/F120)</x:f>
        <x:v>0.1729325908760765</x:v>
      </x:c>
      <x:c r="M120" s="291" t="str">
        <x:f>IF(F120=0,IF(E120&gt;0,"No recent demand","No demand / no stock"),IF(E120&lt;=I120,"Order now",IF(L120&lt;='Assumptions'!$B$8,"Review soon","Sufficient stock")))</x:f>
        <x:v>Order now</x:v>
      </x:c>
      <x:c r="N120" s="299" t="n">
        <x:f>K120*H120</x:f>
        <x:v>14.9732</x:v>
      </x:c>
    </x:row>
    <x:row r="121" ht="16.5" customHeight="1">
      <x:c r="A121" s="278" t="str">
        <x:v>SKU0831</x:v>
      </x:c>
      <x:c r="B121" s="279" t="str">
        <x:v>Product 0831</x:v>
      </x:c>
      <x:c r="C121" s="279" t="str">
        <x:v>Store B</x:v>
      </x:c>
      <x:c r="D121" s="279" t="str">
        <x:v>Supplier 70</x:v>
      </x:c>
      <x:c r="E121" s="280" t="n">
        <x:v>115</x:v>
      </x:c>
      <x:c r="F121" s="280" t="n">
        <x:v>5.7826</x:v>
      </x:c>
      <x:c r="G121" s="281" t="n">
        <x:v>34.279</x:v>
      </x:c>
      <x:c r="H121" s="281" t="n">
        <x:v>0.1701</x:v>
      </x:c>
      <x:c r="I121" s="281" t="n">
        <x:f>F121*'Assumptions'!$B$7*(1+'Assumptions'!$B$9)</x:f>
        <x:v>13.87824</x:v>
      </x:c>
      <x:c r="J121" s="281" t="n">
        <x:f>F121*('Assumptions'!$B$7+'Assumptions'!$B$8)*(1+'Assumptions'!$B$9)</x:f>
        <x:v>41.634719999999994</x:v>
      </x:c>
      <x:c r="K121" s="296" t="n">
        <x:f>MAX(0,ROUNDUP(J121-E121,0))</x:f>
        <x:v>0</x:v>
      </x:c>
      <x:c r="L121" s="298" t="n">
        <x:f>IF(F121=0,"",E121/F121)</x:f>
        <x:v>19.887247950748797</x:v>
      </x:c>
      <x:c r="M121" s="279" t="str">
        <x:f>IF(F121=0,IF(E121&gt;0,"No recent demand","No demand / no stock"),IF(E121&lt;=I121,"Order now",IF(L121&lt;='Assumptions'!$B$8,"Review soon","Sufficient stock")))</x:f>
        <x:v>Sufficient stock</x:v>
      </x:c>
      <x:c r="N121" s="300" t="n">
        <x:f>K121*H121</x:f>
        <x:v>0</x:v>
      </x:c>
    </x:row>
    <x:row r="122" ht="16.5" customHeight="1">
      <x:c r="A122" s="290" t="str">
        <x:v>SKU0441</x:v>
      </x:c>
      <x:c r="B122" s="291" t="str">
        <x:v>Product 0441</x:v>
      </x:c>
      <x:c r="C122" s="291" t="str">
        <x:v>Store C</x:v>
      </x:c>
      <x:c r="D122" s="291" t="str">
        <x:v>Supplier 68</x:v>
      </x:c>
      <x:c r="E122" s="292" t="n">
        <x:v>2</x:v>
      </x:c>
      <x:c r="F122" s="292" t="n">
        <x:v>5.7065</x:v>
      </x:c>
      <x:c r="G122" s="293" t="n">
        <x:v>6.225</x:v>
      </x:c>
      <x:c r="H122" s="293" t="n">
        <x:v>0.0245</x:v>
      </x:c>
      <x:c r="I122" s="293" t="n">
        <x:f>F122*'Assumptions'!$B$7*(1+'Assumptions'!$B$9)</x:f>
        <x:v>13.6956</x:v>
      </x:c>
      <x:c r="J122" s="293" t="n">
        <x:f>F122*('Assumptions'!$B$7+'Assumptions'!$B$8)*(1+'Assumptions'!$B$9)</x:f>
        <x:v>41.086800000000004</x:v>
      </x:c>
      <x:c r="K122" s="295" t="n">
        <x:f>MAX(0,ROUNDUP(J122-E122,0))</x:f>
        <x:v>40</x:v>
      </x:c>
      <x:c r="L122" s="297" t="n">
        <x:f>IF(F122=0,"",E122/F122)</x:f>
        <x:v>0.3504775256286691</x:v>
      </x:c>
      <x:c r="M122" s="291" t="str">
        <x:f>IF(F122=0,IF(E122&gt;0,"No recent demand","No demand / no stock"),IF(E122&lt;=I122,"Order now",IF(L122&lt;='Assumptions'!$B$8,"Review soon","Sufficient stock")))</x:f>
        <x:v>Order now</x:v>
      </x:c>
      <x:c r="N122" s="299" t="n">
        <x:f>K122*H122</x:f>
        <x:v>0.98</x:v>
      </x:c>
    </x:row>
    <x:row r="123" ht="16.5" customHeight="1">
      <x:c r="A123" s="278" t="str">
        <x:v>SKU0658</x:v>
      </x:c>
      <x:c r="B123" s="279" t="str">
        <x:v>Product 0658</x:v>
      </x:c>
      <x:c r="C123" s="279" t="str">
        <x:v>Store C</x:v>
      </x:c>
      <x:c r="D123" s="279" t="str">
        <x:v>Supplier 16</x:v>
      </x:c>
      <x:c r="E123" s="280" t="n">
        <x:v>1</x:v>
      </x:c>
      <x:c r="F123" s="280" t="n">
        <x:v>5.7065</x:v>
      </x:c>
      <x:c r="G123" s="281" t="n">
        <x:v>62.167</x:v>
      </x:c>
      <x:c r="H123" s="281" t="n">
        <x:v>0.2716</x:v>
      </x:c>
      <x:c r="I123" s="281" t="n">
        <x:f>F123*'Assumptions'!$B$7*(1+'Assumptions'!$B$9)</x:f>
        <x:v>13.6956</x:v>
      </x:c>
      <x:c r="J123" s="281" t="n">
        <x:f>F123*('Assumptions'!$B$7+'Assumptions'!$B$8)*(1+'Assumptions'!$B$9)</x:f>
        <x:v>41.086800000000004</x:v>
      </x:c>
      <x:c r="K123" s="296" t="n">
        <x:f>MAX(0,ROUNDUP(J123-E123,0))</x:f>
        <x:v>41</x:v>
      </x:c>
      <x:c r="L123" s="298" t="n">
        <x:f>IF(F123=0,"",E123/F123)</x:f>
        <x:v>0.17523876281433454</x:v>
      </x:c>
      <x:c r="M123" s="279" t="str">
        <x:f>IF(F123=0,IF(E123&gt;0,"No recent demand","No demand / no stock"),IF(E123&lt;=I123,"Order now",IF(L123&lt;='Assumptions'!$B$8,"Review soon","Sufficient stock")))</x:f>
        <x:v>Order now</x:v>
      </x:c>
      <x:c r="N123" s="300" t="n">
        <x:f>K123*H123</x:f>
        <x:v>11.1356</x:v>
      </x:c>
    </x:row>
    <x:row r="124" ht="16.5" customHeight="1">
      <x:c r="A124" s="290" t="str">
        <x:v>SKU1230</x:v>
      </x:c>
      <x:c r="B124" s="291" t="str">
        <x:v>Product 1230</x:v>
      </x:c>
      <x:c r="C124" s="291" t="str">
        <x:v>Store C</x:v>
      </x:c>
      <x:c r="D124" s="291" t="str">
        <x:v>Supplier 19</x:v>
      </x:c>
      <x:c r="E124" s="292" t="n">
        <x:v>57</x:v>
      </x:c>
      <x:c r="F124" s="292" t="n">
        <x:v>5.7065</x:v>
      </x:c>
      <x:c r="G124" s="293" t="n">
        <x:v>15.4795</x:v>
      </x:c>
      <x:c r="H124" s="293" t="n">
        <x:v>0.0498</x:v>
      </x:c>
      <x:c r="I124" s="293" t="n">
        <x:f>F124*'Assumptions'!$B$7*(1+'Assumptions'!$B$9)</x:f>
        <x:v>13.6956</x:v>
      </x:c>
      <x:c r="J124" s="293" t="n">
        <x:f>F124*('Assumptions'!$B$7+'Assumptions'!$B$8)*(1+'Assumptions'!$B$9)</x:f>
        <x:v>41.086800000000004</x:v>
      </x:c>
      <x:c r="K124" s="295" t="n">
        <x:f>MAX(0,ROUNDUP(J124-E124,0))</x:f>
        <x:v>0</x:v>
      </x:c>
      <x:c r="L124" s="297" t="n">
        <x:f>IF(F124=0,"",E124/F124)</x:f>
        <x:v>9.988609480417068</x:v>
      </x:c>
      <x:c r="M124" s="291" t="str">
        <x:f>IF(F124=0,IF(E124&gt;0,"No recent demand","No demand / no stock"),IF(E124&lt;=I124,"Order now",IF(L124&lt;='Assumptions'!$B$8,"Review soon","Sufficient stock")))</x:f>
        <x:v>Sufficient stock</x:v>
      </x:c>
      <x:c r="N124" s="299" t="n">
        <x:f>K124*H124</x:f>
        <x:v>0</x:v>
      </x:c>
    </x:row>
    <x:row r="125" ht="16.5" customHeight="1">
      <x:c r="A125" s="278" t="str">
        <x:v>SKU1735</x:v>
      </x:c>
      <x:c r="B125" s="279" t="str">
        <x:v>Product 1735</x:v>
      </x:c>
      <x:c r="C125" s="279" t="str">
        <x:v>Store A</x:v>
      </x:c>
      <x:c r="D125" s="279" t="str">
        <x:v>Supplier 09</x:v>
      </x:c>
      <x:c r="E125" s="280" t="n">
        <x:v>5</x:v>
      </x:c>
      <x:c r="F125" s="280" t="n">
        <x:v>5.7065</x:v>
      </x:c>
      <x:c r="G125" s="281" t="n">
        <x:v>110.1078</x:v>
      </x:c>
      <x:c r="H125" s="281" t="n">
        <x:v>0.415</x:v>
      </x:c>
      <x:c r="I125" s="281" t="n">
        <x:f>F125*'Assumptions'!$B$7*(1+'Assumptions'!$B$9)</x:f>
        <x:v>13.6956</x:v>
      </x:c>
      <x:c r="J125" s="281" t="n">
        <x:f>F125*('Assumptions'!$B$7+'Assumptions'!$B$8)*(1+'Assumptions'!$B$9)</x:f>
        <x:v>41.086800000000004</x:v>
      </x:c>
      <x:c r="K125" s="296" t="n">
        <x:f>MAX(0,ROUNDUP(J125-E125,0))</x:f>
        <x:v>37</x:v>
      </x:c>
      <x:c r="L125" s="298" t="n">
        <x:f>IF(F125=0,"",E125/F125)</x:f>
        <x:v>0.8761938140716726</x:v>
      </x:c>
      <x:c r="M125" s="279" t="str">
        <x:f>IF(F125=0,IF(E125&gt;0,"No recent demand","No demand / no stock"),IF(E125&lt;=I125,"Order now",IF(L125&lt;='Assumptions'!$B$8,"Review soon","Sufficient stock")))</x:f>
        <x:v>Order now</x:v>
      </x:c>
      <x:c r="N125" s="300" t="n">
        <x:f>K125*H125</x:f>
        <x:v>15.354999999999999</x:v>
      </x:c>
    </x:row>
    <x:row r="126" ht="16.5" customHeight="1">
      <x:c r="A126" s="290" t="str">
        <x:v>SKU0653</x:v>
      </x:c>
      <x:c r="B126" s="291" t="str">
        <x:v>Product 0653</x:v>
      </x:c>
      <x:c r="C126" s="291" t="str">
        <x:v>Store B</x:v>
      </x:c>
      <x:c r="D126" s="291" t="str">
        <x:v>Supplier 02</x:v>
      </x:c>
      <x:c r="E126" s="292" t="n">
        <x:v>38</x:v>
      </x:c>
      <x:c r="F126" s="292" t="n">
        <x:v>5.6304</x:v>
      </x:c>
      <x:c r="G126" s="293" t="n">
        <x:v>118.5074</x:v>
      </x:c>
      <x:c r="H126" s="293" t="n">
        <x:v>0.4067</x:v>
      </x:c>
      <x:c r="I126" s="293" t="n">
        <x:f>F126*'Assumptions'!$B$7*(1+'Assumptions'!$B$9)</x:f>
        <x:v>13.51296</x:v>
      </x:c>
      <x:c r="J126" s="293" t="n">
        <x:f>F126*('Assumptions'!$B$7+'Assumptions'!$B$8)*(1+'Assumptions'!$B$9)</x:f>
        <x:v>40.53887999999999</x:v>
      </x:c>
      <x:c r="K126" s="295" t="n">
        <x:f>MAX(0,ROUNDUP(J126-E126,0))</x:f>
        <x:v>3</x:v>
      </x:c>
      <x:c r="L126" s="297" t="n">
        <x:f>IF(F126=0,"",E126/F126)</x:f>
        <x:v>6.749076442171072</x:v>
      </x:c>
      <x:c r="M126" s="291" t="str">
        <x:f>IF(F126=0,IF(E126&gt;0,"No recent demand","No demand / no stock"),IF(E126&lt;=I126,"Order now",IF(L126&lt;='Assumptions'!$B$8,"Review soon","Sufficient stock")))</x:f>
        <x:v>Sufficient stock</x:v>
      </x:c>
      <x:c r="N126" s="299" t="n">
        <x:f>K126*H126</x:f>
        <x:v>1.2201</x:v>
      </x:c>
    </x:row>
    <x:row r="127" ht="16.5" customHeight="1">
      <x:c r="A127" s="278" t="str">
        <x:v>SKU1443</x:v>
      </x:c>
      <x:c r="B127" s="279" t="str">
        <x:v>Product 1443</x:v>
      </x:c>
      <x:c r="C127" s="279" t="str">
        <x:v>Store C</x:v>
      </x:c>
      <x:c r="D127" s="279" t="str">
        <x:v>Supplier 24</x:v>
      </x:c>
      <x:c r="E127" s="280" t="n">
        <x:v>54</x:v>
      </x:c>
      <x:c r="F127" s="280" t="n">
        <x:v>5.6304</x:v>
      </x:c>
      <x:c r="G127" s="281" t="n">
        <x:v>67.4707</x:v>
      </x:c>
      <x:c r="H127" s="281" t="n">
        <x:v>0.4482</x:v>
      </x:c>
      <x:c r="I127" s="281" t="n">
        <x:f>F127*'Assumptions'!$B$7*(1+'Assumptions'!$B$9)</x:f>
        <x:v>13.51296</x:v>
      </x:c>
      <x:c r="J127" s="281" t="n">
        <x:f>F127*('Assumptions'!$B$7+'Assumptions'!$B$8)*(1+'Assumptions'!$B$9)</x:f>
        <x:v>40.53887999999999</x:v>
      </x:c>
      <x:c r="K127" s="296" t="n">
        <x:f>MAX(0,ROUNDUP(J127-E127,0))</x:f>
        <x:v>0</x:v>
      </x:c>
      <x:c r="L127" s="298" t="n">
        <x:f>IF(F127=0,"",E127/F127)</x:f>
        <x:v>9.59079283887468</x:v>
      </x:c>
      <x:c r="M127" s="279" t="str">
        <x:f>IF(F127=0,IF(E127&gt;0,"No recent demand","No demand / no stock"),IF(E127&lt;=I127,"Order now",IF(L127&lt;='Assumptions'!$B$8,"Review soon","Sufficient stock")))</x:f>
        <x:v>Sufficient stock</x:v>
      </x:c>
      <x:c r="N127" s="300" t="n">
        <x:f>K127*H127</x:f>
        <x:v>0</x:v>
      </x:c>
    </x:row>
    <x:row r="128" ht="16.5" customHeight="1">
      <x:c r="A128" s="290" t="str">
        <x:v>SKU0858</x:v>
      </x:c>
      <x:c r="B128" s="291" t="str">
        <x:v>Product 0858</x:v>
      </x:c>
      <x:c r="C128" s="291" t="str">
        <x:v>Store B</x:v>
      </x:c>
      <x:c r="D128" s="291" t="str">
        <x:v>Supplier 16</x:v>
      </x:c>
      <x:c r="E128" s="292" t="n">
        <x:v>0</x:v>
      </x:c>
      <x:c r="F128" s="292" t="n">
        <x:v>5.4783</x:v>
      </x:c>
      <x:c r="G128" s="293" t="n">
        <x:v>37.35</x:v>
      </x:c>
      <x:c r="H128" s="293" t="n">
        <x:v>0.3022</x:v>
      </x:c>
      <x:c r="I128" s="293" t="n">
        <x:f>F128*'Assumptions'!$B$7*(1+'Assumptions'!$B$9)</x:f>
        <x:v>13.14792</x:v>
      </x:c>
      <x:c r="J128" s="293" t="n">
        <x:f>F128*('Assumptions'!$B$7+'Assumptions'!$B$8)*(1+'Assumptions'!$B$9)</x:f>
        <x:v>39.44376</x:v>
      </x:c>
      <x:c r="K128" s="295" t="n">
        <x:f>MAX(0,ROUNDUP(J128-E128,0))</x:f>
        <x:v>40</x:v>
      </x:c>
      <x:c r="L128" s="297" t="n">
        <x:f>IF(F128=0,"",E128/F128)</x:f>
        <x:v>0</x:v>
      </x:c>
      <x:c r="M128" s="291" t="str">
        <x:f>IF(F128=0,IF(E128&gt;0,"No recent demand","No demand / no stock"),IF(E128&lt;=I128,"Order now",IF(L128&lt;='Assumptions'!$B$8,"Review soon","Sufficient stock")))</x:f>
        <x:v>Order now</x:v>
      </x:c>
      <x:c r="N128" s="299" t="n">
        <x:f>K128*H128</x:f>
        <x:v>12.088000000000001</x:v>
      </x:c>
    </x:row>
    <x:row r="129" ht="16.5" customHeight="1">
      <x:c r="A129" s="278" t="str">
        <x:v>SKU0157</x:v>
      </x:c>
      <x:c r="B129" s="279" t="str">
        <x:v>Product 0157</x:v>
      </x:c>
      <x:c r="C129" s="279" t="str">
        <x:v>Store C</x:v>
      </x:c>
      <x:c r="D129" s="279" t="str">
        <x:v>Supplier 68</x:v>
      </x:c>
      <x:c r="E129" s="280" t="n">
        <x:v>25</x:v>
      </x:c>
      <x:c r="F129" s="280" t="n">
        <x:v>5.4022</x:v>
      </x:c>
      <x:c r="G129" s="281" t="n">
        <x:v>64.4744</x:v>
      </x:c>
      <x:c r="H129" s="281" t="n">
        <x:v>0.3569</x:v>
      </x:c>
      <x:c r="I129" s="281" t="n">
        <x:f>F129*'Assumptions'!$B$7*(1+'Assumptions'!$B$9)</x:f>
        <x:v>12.965279999999998</x:v>
      </x:c>
      <x:c r="J129" s="281" t="n">
        <x:f>F129*('Assumptions'!$B$7+'Assumptions'!$B$8)*(1+'Assumptions'!$B$9)</x:f>
        <x:v>38.89583999999999</x:v>
      </x:c>
      <x:c r="K129" s="296" t="n">
        <x:f>MAX(0,ROUNDUP(J129-E129,0))</x:f>
        <x:v>14</x:v>
      </x:c>
      <x:c r="L129" s="298" t="n">
        <x:f>IF(F129=0,"",E129/F129)</x:f>
        <x:v>4.627744252341639</x:v>
      </x:c>
      <x:c r="M129" s="279" t="str">
        <x:f>IF(F129=0,IF(E129&gt;0,"No recent demand","No demand / no stock"),IF(E129&lt;=I129,"Order now",IF(L129&lt;='Assumptions'!$B$8,"Review soon","Sufficient stock")))</x:f>
        <x:v>Sufficient stock</x:v>
      </x:c>
      <x:c r="N129" s="300" t="n">
        <x:f>K129*H129</x:f>
        <x:v>4.9966</x:v>
      </x:c>
    </x:row>
    <x:row r="130" ht="16.5" customHeight="1">
      <x:c r="A130" s="290" t="str">
        <x:v>SKU0652</x:v>
      </x:c>
      <x:c r="B130" s="291" t="str">
        <x:v>Product 0652</x:v>
      </x:c>
      <x:c r="C130" s="291" t="str">
        <x:v>Store B</x:v>
      </x:c>
      <x:c r="D130" s="291" t="str">
        <x:v>Supplier 02</x:v>
      </x:c>
      <x:c r="E130" s="292" t="n">
        <x:v>17</x:v>
      </x:c>
      <x:c r="F130" s="292" t="n">
        <x:v>5.4022</x:v>
      </x:c>
      <x:c r="G130" s="293" t="n">
        <x:v>84.162</x:v>
      </x:c>
      <x:c r="H130" s="293" t="n">
        <x:v>0.4084</x:v>
      </x:c>
      <x:c r="I130" s="293" t="n">
        <x:f>F130*'Assumptions'!$B$7*(1+'Assumptions'!$B$9)</x:f>
        <x:v>12.965279999999998</x:v>
      </x:c>
      <x:c r="J130" s="293" t="n">
        <x:f>F130*('Assumptions'!$B$7+'Assumptions'!$B$8)*(1+'Assumptions'!$B$9)</x:f>
        <x:v>38.89583999999999</x:v>
      </x:c>
      <x:c r="K130" s="295" t="n">
        <x:f>MAX(0,ROUNDUP(J130-E130,0))</x:f>
        <x:v>22</x:v>
      </x:c>
      <x:c r="L130" s="297" t="n">
        <x:f>IF(F130=0,"",E130/F130)</x:f>
        <x:v>3.1468660915923143</x:v>
      </x:c>
      <x:c r="M130" s="291" t="str">
        <x:f>IF(F130=0,IF(E130&gt;0,"No recent demand","No demand / no stock"),IF(E130&lt;=I130,"Order now",IF(L130&lt;='Assumptions'!$B$8,"Review soon","Sufficient stock")))</x:f>
        <x:v>Review soon</x:v>
      </x:c>
      <x:c r="N130" s="299" t="n">
        <x:f>K130*H130</x:f>
        <x:v>8.9848</x:v>
      </x:c>
    </x:row>
    <x:row r="131" ht="16.5" customHeight="1">
      <x:c r="A131" s="278" t="str">
        <x:v>SKU1402</x:v>
      </x:c>
      <x:c r="B131" s="279" t="str">
        <x:v>Product 1402</x:v>
      </x:c>
      <x:c r="C131" s="279" t="str">
        <x:v>Store C</x:v>
      </x:c>
      <x:c r="D131" s="279" t="str">
        <x:v>Supplier 24</x:v>
      </x:c>
      <x:c r="E131" s="280" t="n">
        <x:v>0</x:v>
      </x:c>
      <x:c r="F131" s="280" t="n">
        <x:v>5.4022</x:v>
      </x:c>
      <x:c r="G131" s="281" t="n">
        <x:v>33.7312</x:v>
      </x:c>
      <x:c r="H131" s="281" t="n">
        <x:v>0.1494</x:v>
      </x:c>
      <x:c r="I131" s="281" t="n">
        <x:f>F131*'Assumptions'!$B$7*(1+'Assumptions'!$B$9)</x:f>
        <x:v>12.965279999999998</x:v>
      </x:c>
      <x:c r="J131" s="281" t="n">
        <x:f>F131*('Assumptions'!$B$7+'Assumptions'!$B$8)*(1+'Assumptions'!$B$9)</x:f>
        <x:v>38.89583999999999</x:v>
      </x:c>
      <x:c r="K131" s="296" t="n">
        <x:f>MAX(0,ROUNDUP(J131-E131,0))</x:f>
        <x:v>39</x:v>
      </x:c>
      <x:c r="L131" s="298" t="n">
        <x:f>IF(F131=0,"",E131/F131)</x:f>
        <x:v>0</x:v>
      </x:c>
      <x:c r="M131" s="279" t="str">
        <x:f>IF(F131=0,IF(E131&gt;0,"No recent demand","No demand / no stock"),IF(E131&lt;=I131,"Order now",IF(L131&lt;='Assumptions'!$B$8,"Review soon","Sufficient stock")))</x:f>
        <x:v>Order now</x:v>
      </x:c>
      <x:c r="N131" s="300" t="n">
        <x:f>K131*H131</x:f>
        <x:v>5.8266</x:v>
      </x:c>
    </x:row>
    <x:row r="132" ht="16.5" customHeight="1">
      <x:c r="A132" s="290" t="str">
        <x:v>SKU0144</x:v>
      </x:c>
      <x:c r="B132" s="291" t="str">
        <x:v>Product 0144</x:v>
      </x:c>
      <x:c r="C132" s="291" t="str">
        <x:v>Store B</x:v>
      </x:c>
      <x:c r="D132" s="291" t="str">
        <x:v>Supplier 68</x:v>
      </x:c>
      <x:c r="E132" s="292" t="n">
        <x:v>87</x:v>
      </x:c>
      <x:c r="F132" s="292" t="n">
        <x:v>5.3261</x:v>
      </x:c>
      <x:c r="G132" s="293" t="n">
        <x:v>25.3482</x:v>
      </x:c>
      <x:c r="H132" s="293" t="n">
        <x:v>0.1231</x:v>
      </x:c>
      <x:c r="I132" s="293" t="n">
        <x:f>F132*'Assumptions'!$B$7*(1+'Assumptions'!$B$9)</x:f>
        <x:v>12.78264</x:v>
      </x:c>
      <x:c r="J132" s="293" t="n">
        <x:f>F132*('Assumptions'!$B$7+'Assumptions'!$B$8)*(1+'Assumptions'!$B$9)</x:f>
        <x:v>38.34792</x:v>
      </x:c>
      <x:c r="K132" s="295" t="n">
        <x:f>MAX(0,ROUNDUP(J132-E132,0))</x:f>
        <x:v>0</x:v>
      </x:c>
      <x:c r="L132" s="297" t="n">
        <x:f>IF(F132=0,"",E132/F132)</x:f>
        <x:v>16.33465387431704</x:v>
      </x:c>
      <x:c r="M132" s="291" t="str">
        <x:f>IF(F132=0,IF(E132&gt;0,"No recent demand","No demand / no stock"),IF(E132&lt;=I132,"Order now",IF(L132&lt;='Assumptions'!$B$8,"Review soon","Sufficient stock")))</x:f>
        <x:v>Sufficient stock</x:v>
      </x:c>
      <x:c r="N132" s="299" t="n">
        <x:f>K132*H132</x:f>
        <x:v>0</x:v>
      </x:c>
    </x:row>
    <x:row r="133" ht="16.5" customHeight="1">
      <x:c r="A133" s="278" t="str">
        <x:v>SKU0878</x:v>
      </x:c>
      <x:c r="B133" s="279" t="str">
        <x:v>Product 0878</x:v>
      </x:c>
      <x:c r="C133" s="279" t="str">
        <x:v>Store C</x:v>
      </x:c>
      <x:c r="D133" s="279" t="str">
        <x:v>Supplier 19</x:v>
      </x:c>
      <x:c r="E133" s="280" t="n">
        <x:v>24</x:v>
      </x:c>
      <x:c r="F133" s="280" t="n">
        <x:v>5.3261</x:v>
      </x:c>
      <x:c r="G133" s="281" t="n">
        <x:v>31.2744</x:v>
      </x:c>
      <x:c r="H133" s="281" t="n">
        <x:v>0.1992</x:v>
      </x:c>
      <x:c r="I133" s="281" t="n">
        <x:f>F133*'Assumptions'!$B$7*(1+'Assumptions'!$B$9)</x:f>
        <x:v>12.78264</x:v>
      </x:c>
      <x:c r="J133" s="281" t="n">
        <x:f>F133*('Assumptions'!$B$7+'Assumptions'!$B$8)*(1+'Assumptions'!$B$9)</x:f>
        <x:v>38.34792</x:v>
      </x:c>
      <x:c r="K133" s="296" t="n">
        <x:f>MAX(0,ROUNDUP(J133-E133,0))</x:f>
        <x:v>15</x:v>
      </x:c>
      <x:c r="L133" s="298" t="n">
        <x:f>IF(F133=0,"",E133/F133)</x:f>
        <x:v>4.506111413604701</x:v>
      </x:c>
      <x:c r="M133" s="279" t="str">
        <x:f>IF(F133=0,IF(E133&gt;0,"No recent demand","No demand / no stock"),IF(E133&lt;=I133,"Order now",IF(L133&lt;='Assumptions'!$B$8,"Review soon","Sufficient stock")))</x:f>
        <x:v>Sufficient stock</x:v>
      </x:c>
      <x:c r="N133" s="300" t="n">
        <x:f>K133*H133</x:f>
        <x:v>2.988</x:v>
      </x:c>
    </x:row>
    <x:row r="134" ht="16.5" customHeight="1">
      <x:c r="A134" s="290" t="str">
        <x:v>SKU1327</x:v>
      </x:c>
      <x:c r="B134" s="291" t="str">
        <x:v>Product 1327</x:v>
      </x:c>
      <x:c r="C134" s="291" t="str">
        <x:v>Store B</x:v>
      </x:c>
      <x:c r="D134" s="291" t="str">
        <x:v>Supplier 03</x:v>
      </x:c>
      <x:c r="E134" s="292" t="n">
        <x:v>0</x:v>
      </x:c>
      <x:c r="F134" s="292" t="n">
        <x:v>5.3261</x:v>
      </x:c>
      <x:c r="G134" s="293" t="n">
        <x:v>97.7823</x:v>
      </x:c>
      <x:c r="H134" s="293" t="n">
        <x:v>0</x:v>
      </x:c>
      <x:c r="I134" s="293" t="n">
        <x:f>F134*'Assumptions'!$B$7*(1+'Assumptions'!$B$9)</x:f>
        <x:v>12.78264</x:v>
      </x:c>
      <x:c r="J134" s="293" t="n">
        <x:f>F134*('Assumptions'!$B$7+'Assumptions'!$B$8)*(1+'Assumptions'!$B$9)</x:f>
        <x:v>38.34792</x:v>
      </x:c>
      <x:c r="K134" s="295" t="n">
        <x:f>MAX(0,ROUNDUP(J134-E134,0))</x:f>
        <x:v>39</x:v>
      </x:c>
      <x:c r="L134" s="297" t="n">
        <x:f>IF(F134=0,"",E134/F134)</x:f>
        <x:v>0</x:v>
      </x:c>
      <x:c r="M134" s="291" t="str">
        <x:f>IF(F134=0,IF(E134&gt;0,"No recent demand","No demand / no stock"),IF(E134&lt;=I134,"Order now",IF(L134&lt;='Assumptions'!$B$8,"Review soon","Sufficient stock")))</x:f>
        <x:v>Order now</x:v>
      </x:c>
      <x:c r="N134" s="299" t="n">
        <x:f>K134*H134</x:f>
        <x:v>0</x:v>
      </x:c>
    </x:row>
    <x:row r="135" ht="16.5" customHeight="1">
      <x:c r="A135" s="278" t="str">
        <x:v>SKU1789</x:v>
      </x:c>
      <x:c r="B135" s="279" t="str">
        <x:v>Product 1789</x:v>
      </x:c>
      <x:c r="C135" s="279" t="str">
        <x:v>Store C</x:v>
      </x:c>
      <x:c r="D135" s="279" t="str">
        <x:v>Supplier 42</x:v>
      </x:c>
      <x:c r="E135" s="280" t="n">
        <x:v>-1</x:v>
      </x:c>
      <x:c r="F135" s="280" t="n">
        <x:v>5.3261</x:v>
      </x:c>
      <x:c r="G135" s="281" t="n">
        <x:v>90.221</x:v>
      </x:c>
      <x:c r="H135" s="281" t="n">
        <x:v>1.328</x:v>
      </x:c>
      <x:c r="I135" s="281" t="n">
        <x:f>F135*'Assumptions'!$B$7*(1+'Assumptions'!$B$9)</x:f>
        <x:v>12.78264</x:v>
      </x:c>
      <x:c r="J135" s="281" t="n">
        <x:f>F135*('Assumptions'!$B$7+'Assumptions'!$B$8)*(1+'Assumptions'!$B$9)</x:f>
        <x:v>38.34792</x:v>
      </x:c>
      <x:c r="K135" s="296" t="n">
        <x:f>MAX(0,ROUNDUP(J135-E135,0))</x:f>
        <x:v>40</x:v>
      </x:c>
      <x:c r="L135" s="298" t="n">
        <x:f>IF(F135=0,"",E135/F135)</x:f>
        <x:v>-0.18775464223352922</x:v>
      </x:c>
      <x:c r="M135" s="279" t="str">
        <x:f>IF(F135=0,IF(E135&gt;0,"No recent demand","No demand / no stock"),IF(E135&lt;=I135,"Order now",IF(L135&lt;='Assumptions'!$B$8,"Review soon","Sufficient stock")))</x:f>
        <x:v>Order now</x:v>
      </x:c>
      <x:c r="N135" s="300" t="n">
        <x:f>K135*H135</x:f>
        <x:v>53.120000000000005</x:v>
      </x:c>
    </x:row>
    <x:row r="136" ht="16.5" customHeight="1">
      <x:c r="A136" s="290" t="str">
        <x:v>SKU0858</x:v>
      </x:c>
      <x:c r="B136" s="291" t="str">
        <x:v>Product 0858</x:v>
      </x:c>
      <x:c r="C136" s="291" t="str">
        <x:v>Store C</x:v>
      </x:c>
      <x:c r="D136" s="291" t="str">
        <x:v>Supplier 16</x:v>
      </x:c>
      <x:c r="E136" s="292" t="n">
        <x:v>7</x:v>
      </x:c>
      <x:c r="F136" s="292" t="n">
        <x:v>5.25</x:v>
      </x:c>
      <x:c r="G136" s="293" t="n">
        <x:v>33.034</x:v>
      </x:c>
      <x:c r="H136" s="293" t="n">
        <x:v>0.3021</x:v>
      </x:c>
      <x:c r="I136" s="293" t="n">
        <x:f>F136*'Assumptions'!$B$7*(1+'Assumptions'!$B$9)</x:f>
        <x:v>12.6</x:v>
      </x:c>
      <x:c r="J136" s="293" t="n">
        <x:f>F136*('Assumptions'!$B$7+'Assumptions'!$B$8)*(1+'Assumptions'!$B$9)</x:f>
        <x:v>37.8</x:v>
      </x:c>
      <x:c r="K136" s="295" t="n">
        <x:f>MAX(0,ROUNDUP(J136-E136,0))</x:f>
        <x:v>31</x:v>
      </x:c>
      <x:c r="L136" s="297" t="n">
        <x:f>IF(F136=0,"",E136/F136)</x:f>
        <x:v>1.3333333333333333</x:v>
      </x:c>
      <x:c r="M136" s="291" t="str">
        <x:f>IF(F136=0,IF(E136&gt;0,"No recent demand","No demand / no stock"),IF(E136&lt;=I136,"Order now",IF(L136&lt;='Assumptions'!$B$8,"Review soon","Sufficient stock")))</x:f>
        <x:v>Order now</x:v>
      </x:c>
      <x:c r="N136" s="299" t="n">
        <x:f>K136*H136</x:f>
        <x:v>9.3651</x:v>
      </x:c>
    </x:row>
    <x:row r="137" ht="16.5" customHeight="1">
      <x:c r="A137" s="278" t="str">
        <x:v>SKU0878</x:v>
      </x:c>
      <x:c r="B137" s="279" t="str">
        <x:v>Product 0878</x:v>
      </x:c>
      <x:c r="C137" s="279" t="str">
        <x:v>Store A</x:v>
      </x:c>
      <x:c r="D137" s="279" t="str">
        <x:v>Supplier 19</x:v>
      </x:c>
      <x:c r="E137" s="280" t="n">
        <x:v>22</x:v>
      </x:c>
      <x:c r="F137" s="280" t="n">
        <x:v>5.25</x:v>
      </x:c>
      <x:c r="G137" s="281" t="n">
        <x:v>29.1413</x:v>
      </x:c>
      <x:c r="H137" s="281" t="n">
        <x:v>0.1992</x:v>
      </x:c>
      <x:c r="I137" s="281" t="n">
        <x:f>F137*'Assumptions'!$B$7*(1+'Assumptions'!$B$9)</x:f>
        <x:v>12.6</x:v>
      </x:c>
      <x:c r="J137" s="281" t="n">
        <x:f>F137*('Assumptions'!$B$7+'Assumptions'!$B$8)*(1+'Assumptions'!$B$9)</x:f>
        <x:v>37.8</x:v>
      </x:c>
      <x:c r="K137" s="296" t="n">
        <x:f>MAX(0,ROUNDUP(J137-E137,0))</x:f>
        <x:v>16</x:v>
      </x:c>
      <x:c r="L137" s="298" t="n">
        <x:f>IF(F137=0,"",E137/F137)</x:f>
        <x:v>4.190476190476191</x:v>
      </x:c>
      <x:c r="M137" s="279" t="str">
        <x:f>IF(F137=0,IF(E137&gt;0,"No recent demand","No demand / no stock"),IF(E137&lt;=I137,"Order now",IF(L137&lt;='Assumptions'!$B$8,"Review soon","Sufficient stock")))</x:f>
        <x:v>Sufficient stock</x:v>
      </x:c>
      <x:c r="N137" s="300" t="n">
        <x:f>K137*H137</x:f>
        <x:v>3.1872</x:v>
      </x:c>
    </x:row>
    <x:row r="138" ht="16.5" customHeight="1">
      <x:c r="A138" s="290" t="str">
        <x:v>SKU0882</x:v>
      </x:c>
      <x:c r="B138" s="291" t="str">
        <x:v>Product 0882</x:v>
      </x:c>
      <x:c r="C138" s="291" t="str">
        <x:v>Store C</x:v>
      </x:c>
      <x:c r="D138" s="291" t="str">
        <x:v>Supplier 69</x:v>
      </x:c>
      <x:c r="E138" s="292" t="n">
        <x:v>131</x:v>
      </x:c>
      <x:c r="F138" s="292" t="n">
        <x:v>5.25</x:v>
      </x:c>
      <x:c r="G138" s="293" t="n">
        <x:v>15.4131</x:v>
      </x:c>
      <x:c r="H138" s="293" t="n">
        <x:v>0.0784</x:v>
      </x:c>
      <x:c r="I138" s="293" t="n">
        <x:f>F138*'Assumptions'!$B$7*(1+'Assumptions'!$B$9)</x:f>
        <x:v>12.6</x:v>
      </x:c>
      <x:c r="J138" s="293" t="n">
        <x:f>F138*('Assumptions'!$B$7+'Assumptions'!$B$8)*(1+'Assumptions'!$B$9)</x:f>
        <x:v>37.8</x:v>
      </x:c>
      <x:c r="K138" s="295" t="n">
        <x:f>MAX(0,ROUNDUP(J138-E138,0))</x:f>
        <x:v>0</x:v>
      </x:c>
      <x:c r="L138" s="297" t="n">
        <x:f>IF(F138=0,"",E138/F138)</x:f>
        <x:v>24.952380952380953</x:v>
      </x:c>
      <x:c r="M138" s="291" t="str">
        <x:f>IF(F138=0,IF(E138&gt;0,"No recent demand","No demand / no stock"),IF(E138&lt;=I138,"Order now",IF(L138&lt;='Assumptions'!$B$8,"Review soon","Sufficient stock")))</x:f>
        <x:v>Sufficient stock</x:v>
      </x:c>
      <x:c r="N138" s="299" t="n">
        <x:f>K138*H138</x:f>
        <x:v>0</x:v>
      </x:c>
    </x:row>
    <x:row r="139" ht="16.5" customHeight="1">
      <x:c r="A139" s="278" t="str">
        <x:v>SKU1283</x:v>
      </x:c>
      <x:c r="B139" s="279" t="str">
        <x:v>Product 1283</x:v>
      </x:c>
      <x:c r="C139" s="279" t="str">
        <x:v>Store C</x:v>
      </x:c>
      <x:c r="D139" s="279" t="str">
        <x:v>Supplier 24</x:v>
      </x:c>
      <x:c r="E139" s="280" t="n">
        <x:v>11</x:v>
      </x:c>
      <x:c r="F139" s="280" t="n">
        <x:v>5.25</x:v>
      </x:c>
      <x:c r="G139" s="281" t="n">
        <x:v>45.816</x:v>
      </x:c>
      <x:c r="H139" s="281" t="n">
        <x:v>0.2988</x:v>
      </x:c>
      <x:c r="I139" s="281" t="n">
        <x:f>F139*'Assumptions'!$B$7*(1+'Assumptions'!$B$9)</x:f>
        <x:v>12.6</x:v>
      </x:c>
      <x:c r="J139" s="281" t="n">
        <x:f>F139*('Assumptions'!$B$7+'Assumptions'!$B$8)*(1+'Assumptions'!$B$9)</x:f>
        <x:v>37.8</x:v>
      </x:c>
      <x:c r="K139" s="296" t="n">
        <x:f>MAX(0,ROUNDUP(J139-E139,0))</x:f>
        <x:v>27</x:v>
      </x:c>
      <x:c r="L139" s="298" t="n">
        <x:f>IF(F139=0,"",E139/F139)</x:f>
        <x:v>2.0952380952380953</x:v>
      </x:c>
      <x:c r="M139" s="279" t="str">
        <x:f>IF(F139=0,IF(E139&gt;0,"No recent demand","No demand / no stock"),IF(E139&lt;=I139,"Order now",IF(L139&lt;='Assumptions'!$B$8,"Review soon","Sufficient stock")))</x:f>
        <x:v>Order now</x:v>
      </x:c>
      <x:c r="N139" s="300" t="n">
        <x:f>K139*H139</x:f>
        <x:v>8.0676</x:v>
      </x:c>
    </x:row>
    <x:row r="140" ht="16.5" customHeight="1">
      <x:c r="A140" s="290" t="str">
        <x:v>SKU1328</x:v>
      </x:c>
      <x:c r="B140" s="291" t="str">
        <x:v>Product 1328</x:v>
      </x:c>
      <x:c r="C140" s="291" t="str">
        <x:v>Store B</x:v>
      </x:c>
      <x:c r="D140" s="291" t="str">
        <x:v>Supplier 03</x:v>
      </x:c>
      <x:c r="E140" s="292" t="n">
        <x:v>0</x:v>
      </x:c>
      <x:c r="F140" s="292" t="n">
        <x:v>5.25</x:v>
      </x:c>
      <x:c r="G140" s="293" t="n">
        <x:v>96.2302</x:v>
      </x:c>
      <x:c r="H140" s="293" t="n">
        <x:v>0</x:v>
      </x:c>
      <x:c r="I140" s="293" t="n">
        <x:f>F140*'Assumptions'!$B$7*(1+'Assumptions'!$B$9)</x:f>
        <x:v>12.6</x:v>
      </x:c>
      <x:c r="J140" s="293" t="n">
        <x:f>F140*('Assumptions'!$B$7+'Assumptions'!$B$8)*(1+'Assumptions'!$B$9)</x:f>
        <x:v>37.8</x:v>
      </x:c>
      <x:c r="K140" s="295" t="n">
        <x:f>MAX(0,ROUNDUP(J140-E140,0))</x:f>
        <x:v>38</x:v>
      </x:c>
      <x:c r="L140" s="297" t="n">
        <x:f>IF(F140=0,"",E140/F140)</x:f>
        <x:v>0</x:v>
      </x:c>
      <x:c r="M140" s="291" t="str">
        <x:f>IF(F140=0,IF(E140&gt;0,"No recent demand","No demand / no stock"),IF(E140&lt;=I140,"Order now",IF(L140&lt;='Assumptions'!$B$8,"Review soon","Sufficient stock")))</x:f>
        <x:v>Order now</x:v>
      </x:c>
      <x:c r="N140" s="299" t="n">
        <x:f>K140*H140</x:f>
        <x:v>0</x:v>
      </x:c>
    </x:row>
    <x:row r="141" ht="16.5" customHeight="1">
      <x:c r="A141" s="278" t="str">
        <x:v>SKU0710</x:v>
      </x:c>
      <x:c r="B141" s="279" t="str">
        <x:v>Product 0710</x:v>
      </x:c>
      <x:c r="C141" s="279" t="str">
        <x:v>Store B</x:v>
      </x:c>
      <x:c r="D141" s="279" t="str">
        <x:v>Supplier 02</x:v>
      </x:c>
      <x:c r="E141" s="280" t="n">
        <x:v>21</x:v>
      </x:c>
      <x:c r="F141" s="280" t="n">
        <x:v>5.1739</x:v>
      </x:c>
      <x:c r="G141" s="281" t="n">
        <x:v>61.7188</x:v>
      </x:c>
      <x:c r="H141" s="281" t="n">
        <x:v>0.3154</x:v>
      </x:c>
      <x:c r="I141" s="281" t="n">
        <x:f>F141*'Assumptions'!$B$7*(1+'Assumptions'!$B$9)</x:f>
        <x:v>12.417359999999999</x:v>
      </x:c>
      <x:c r="J141" s="281" t="n">
        <x:f>F141*('Assumptions'!$B$7+'Assumptions'!$B$8)*(1+'Assumptions'!$B$9)</x:f>
        <x:v>37.25208</x:v>
      </x:c>
      <x:c r="K141" s="296" t="n">
        <x:f>MAX(0,ROUNDUP(J141-E141,0))</x:f>
        <x:v>17</x:v>
      </x:c>
      <x:c r="L141" s="298" t="n">
        <x:f>IF(F141=0,"",E141/F141)</x:f>
        <x:v>4.058833761765786</x:v>
      </x:c>
      <x:c r="M141" s="279" t="str">
        <x:f>IF(F141=0,IF(E141&gt;0,"No recent demand","No demand / no stock"),IF(E141&lt;=I141,"Order now",IF(L141&lt;='Assumptions'!$B$8,"Review soon","Sufficient stock")))</x:f>
        <x:v>Sufficient stock</x:v>
      </x:c>
      <x:c r="N141" s="300" t="n">
        <x:f>K141*H141</x:f>
        <x:v>5.361800000000001</x:v>
      </x:c>
    </x:row>
    <x:row r="142" ht="16.5" customHeight="1">
      <x:c r="A142" s="290" t="str">
        <x:v>SKU1323</x:v>
      </x:c>
      <x:c r="B142" s="291" t="str">
        <x:v>Product 1323</x:v>
      </x:c>
      <x:c r="C142" s="291" t="str">
        <x:v>Store A</x:v>
      </x:c>
      <x:c r="D142" s="291" t="str">
        <x:v>Supplier 03</x:v>
      </x:c>
      <x:c r="E142" s="292" t="n">
        <x:v>0</x:v>
      </x:c>
      <x:c r="F142" s="292" t="n">
        <x:v>5.1739</x:v>
      </x:c>
      <x:c r="G142" s="293" t="n">
        <x:v>94.8192</x:v>
      </x:c>
      <x:c r="H142" s="293" t="n">
        <x:v>0.6228</x:v>
      </x:c>
      <x:c r="I142" s="293" t="n">
        <x:f>F142*'Assumptions'!$B$7*(1+'Assumptions'!$B$9)</x:f>
        <x:v>12.417359999999999</x:v>
      </x:c>
      <x:c r="J142" s="293" t="n">
        <x:f>F142*('Assumptions'!$B$7+'Assumptions'!$B$8)*(1+'Assumptions'!$B$9)</x:f>
        <x:v>37.25208</x:v>
      </x:c>
      <x:c r="K142" s="295" t="n">
        <x:f>MAX(0,ROUNDUP(J142-E142,0))</x:f>
        <x:v>38</x:v>
      </x:c>
      <x:c r="L142" s="297" t="n">
        <x:f>IF(F142=0,"",E142/F142)</x:f>
        <x:v>0</x:v>
      </x:c>
      <x:c r="M142" s="291" t="str">
        <x:f>IF(F142=0,IF(E142&gt;0,"No recent demand","No demand / no stock"),IF(E142&lt;=I142,"Order now",IF(L142&lt;='Assumptions'!$B$8,"Review soon","Sufficient stock")))</x:f>
        <x:v>Order now</x:v>
      </x:c>
      <x:c r="N142" s="299" t="n">
        <x:f>K142*H142</x:f>
        <x:v>23.6664</x:v>
      </x:c>
    </x:row>
    <x:row r="143" ht="16.5" customHeight="1">
      <x:c r="A143" s="278" t="str">
        <x:v>SKU1328</x:v>
      </x:c>
      <x:c r="B143" s="279" t="str">
        <x:v>Product 1328</x:v>
      </x:c>
      <x:c r="C143" s="279" t="str">
        <x:v>Store A</x:v>
      </x:c>
      <x:c r="D143" s="279" t="str">
        <x:v>Supplier 03</x:v>
      </x:c>
      <x:c r="E143" s="280" t="n">
        <x:v>0</x:v>
      </x:c>
      <x:c r="F143" s="280" t="n">
        <x:v>5.1739</x:v>
      </x:c>
      <x:c r="G143" s="281" t="n">
        <x:v>93.5493</x:v>
      </x:c>
      <x:c r="H143" s="281" t="n">
        <x:v>0.6226</x:v>
      </x:c>
      <x:c r="I143" s="281" t="n">
        <x:f>F143*'Assumptions'!$B$7*(1+'Assumptions'!$B$9)</x:f>
        <x:v>12.417359999999999</x:v>
      </x:c>
      <x:c r="J143" s="281" t="n">
        <x:f>F143*('Assumptions'!$B$7+'Assumptions'!$B$8)*(1+'Assumptions'!$B$9)</x:f>
        <x:v>37.25208</x:v>
      </x:c>
      <x:c r="K143" s="296" t="n">
        <x:f>MAX(0,ROUNDUP(J143-E143,0))</x:f>
        <x:v>38</x:v>
      </x:c>
      <x:c r="L143" s="298" t="n">
        <x:f>IF(F143=0,"",E143/F143)</x:f>
        <x:v>0</x:v>
      </x:c>
      <x:c r="M143" s="279" t="str">
        <x:f>IF(F143=0,IF(E143&gt;0,"No recent demand","No demand / no stock"),IF(E143&lt;=I143,"Order now",IF(L143&lt;='Assumptions'!$B$8,"Review soon","Sufficient stock")))</x:f>
        <x:v>Order now</x:v>
      </x:c>
      <x:c r="N143" s="300" t="n">
        <x:f>K143*H143</x:f>
        <x:v>23.658800000000003</x:v>
      </x:c>
    </x:row>
    <x:row r="144" ht="16.5" customHeight="1">
      <x:c r="A144" s="290" t="str">
        <x:v>SKU0880</x:v>
      </x:c>
      <x:c r="B144" s="291" t="str">
        <x:v>Product 0880</x:v>
      </x:c>
      <x:c r="C144" s="291" t="str">
        <x:v>Store B</x:v>
      </x:c>
      <x:c r="D144" s="291" t="str">
        <x:v>Supplier 69</x:v>
      </x:c>
      <x:c r="E144" s="292" t="n">
        <x:v>0</x:v>
      </x:c>
      <x:c r="F144" s="292" t="n">
        <x:v>5.113</x:v>
      </x:c>
      <x:c r="G144" s="293" t="n">
        <x:v>5.4033</x:v>
      </x:c>
      <x:c r="H144" s="293" t="n">
        <x:v>0.0208</x:v>
      </x:c>
      <x:c r="I144" s="293" t="n">
        <x:f>F144*'Assumptions'!$B$7*(1+'Assumptions'!$B$9)</x:f>
        <x:v>12.2712</x:v>
      </x:c>
      <x:c r="J144" s="293" t="n">
        <x:f>F144*('Assumptions'!$B$7+'Assumptions'!$B$8)*(1+'Assumptions'!$B$9)</x:f>
        <x:v>36.8136</x:v>
      </x:c>
      <x:c r="K144" s="295" t="n">
        <x:f>MAX(0,ROUNDUP(J144-E144,0))</x:f>
        <x:v>37</x:v>
      </x:c>
      <x:c r="L144" s="297" t="n">
        <x:f>IF(F144=0,"",E144/F144)</x:f>
        <x:v>0</x:v>
      </x:c>
      <x:c r="M144" s="291" t="str">
        <x:f>IF(F144=0,IF(E144&gt;0,"No recent demand","No demand / no stock"),IF(E144&lt;=I144,"Order now",IF(L144&lt;='Assumptions'!$B$8,"Review soon","Sufficient stock")))</x:f>
        <x:v>Order now</x:v>
      </x:c>
      <x:c r="N144" s="299" t="n">
        <x:f>K144*H144</x:f>
        <x:v>0.7696</x:v>
      </x:c>
    </x:row>
    <x:row r="145" ht="16.5" customHeight="1">
      <x:c r="A145" s="278" t="str">
        <x:v>SKU1501</x:v>
      </x:c>
      <x:c r="B145" s="279" t="str">
        <x:v>Product 1501</x:v>
      </x:c>
      <x:c r="C145" s="279" t="str">
        <x:v>Store B</x:v>
      </x:c>
      <x:c r="D145" s="279" t="str">
        <x:v>Multiple suppliers</x:v>
      </x:c>
      <x:c r="E145" s="280" t="n">
        <x:v>18</x:v>
      </x:c>
      <x:c r="F145" s="280" t="n">
        <x:v>5.0978</x:v>
      </x:c>
      <x:c r="G145" s="281" t="n">
        <x:v>82.17</x:v>
      </x:c>
      <x:c r="H145" s="281" t="n">
        <x:v>0.4897</x:v>
      </x:c>
      <x:c r="I145" s="281" t="n">
        <x:f>F145*'Assumptions'!$B$7*(1+'Assumptions'!$B$9)</x:f>
        <x:v>12.234720000000001</x:v>
      </x:c>
      <x:c r="J145" s="281" t="n">
        <x:f>F145*('Assumptions'!$B$7+'Assumptions'!$B$8)*(1+'Assumptions'!$B$9)</x:f>
        <x:v>36.70416</x:v>
      </x:c>
      <x:c r="K145" s="296" t="n">
        <x:f>MAX(0,ROUNDUP(J145-E145,0))</x:f>
        <x:v>19</x:v>
      </x:c>
      <x:c r="L145" s="298" t="n">
        <x:f>IF(F145=0,"",E145/F145)</x:f>
        <x:v>3.5309349130997685</x:v>
      </x:c>
      <x:c r="M145" s="279" t="str">
        <x:f>IF(F145=0,IF(E145&gt;0,"No recent demand","No demand / no stock"),IF(E145&lt;=I145,"Order now",IF(L145&lt;='Assumptions'!$B$8,"Review soon","Sufficient stock")))</x:f>
        <x:v>Review soon</x:v>
      </x:c>
      <x:c r="N145" s="300" t="n">
        <x:f>K145*H145</x:f>
        <x:v>9.304300000000001</x:v>
      </x:c>
    </x:row>
    <x:row r="146" ht="16.5" customHeight="1">
      <x:c r="A146" s="290" t="str">
        <x:v>SKU1735</x:v>
      </x:c>
      <x:c r="B146" s="291" t="str">
        <x:v>Product 1735</x:v>
      </x:c>
      <x:c r="C146" s="291" t="str">
        <x:v>Store B</x:v>
      </x:c>
      <x:c r="D146" s="291" t="str">
        <x:v>Supplier 09</x:v>
      </x:c>
      <x:c r="E146" s="292" t="n">
        <x:v>33</x:v>
      </x:c>
      <x:c r="F146" s="292" t="n">
        <x:v>5.0978</x:v>
      </x:c>
      <x:c r="G146" s="293" t="n">
        <x:v>99.0522</x:v>
      </x:c>
      <x:c r="H146" s="293" t="n">
        <x:v>0.415</x:v>
      </x:c>
      <x:c r="I146" s="293" t="n">
        <x:f>F146*'Assumptions'!$B$7*(1+'Assumptions'!$B$9)</x:f>
        <x:v>12.234720000000001</x:v>
      </x:c>
      <x:c r="J146" s="293" t="n">
        <x:f>F146*('Assumptions'!$B$7+'Assumptions'!$B$8)*(1+'Assumptions'!$B$9)</x:f>
        <x:v>36.70416</x:v>
      </x:c>
      <x:c r="K146" s="295" t="n">
        <x:f>MAX(0,ROUNDUP(J146-E146,0))</x:f>
        <x:v>4</x:v>
      </x:c>
      <x:c r="L146" s="297" t="n">
        <x:f>IF(F146=0,"",E146/F146)</x:f>
        <x:v>6.473380674016242</x:v>
      </x:c>
      <x:c r="M146" s="291" t="str">
        <x:f>IF(F146=0,IF(E146&gt;0,"No recent demand","No demand / no stock"),IF(E146&lt;=I146,"Order now",IF(L146&lt;='Assumptions'!$B$8,"Review soon","Sufficient stock")))</x:f>
        <x:v>Sufficient stock</x:v>
      </x:c>
      <x:c r="N146" s="299" t="n">
        <x:f>K146*H146</x:f>
        <x:v>1.66</x:v>
      </x:c>
    </x:row>
    <x:row r="147" ht="16.5" customHeight="1">
      <x:c r="A147" s="278" t="str">
        <x:v>SKU1787</x:v>
      </x:c>
      <x:c r="B147" s="279" t="str">
        <x:v>Product 1787</x:v>
      </x:c>
      <x:c r="C147" s="279" t="str">
        <x:v>Store A</x:v>
      </x:c>
      <x:c r="D147" s="279" t="str">
        <x:v>Supplier 42</x:v>
      </x:c>
      <x:c r="E147" s="280" t="n">
        <x:v>0</x:v>
      </x:c>
      <x:c r="F147" s="280" t="n">
        <x:v>5.0978</x:v>
      </x:c>
      <x:c r="G147" s="281" t="n">
        <x:v>185.339</x:v>
      </x:c>
      <x:c r="H147" s="281" t="n">
        <x:v>1.2367</x:v>
      </x:c>
      <x:c r="I147" s="281" t="n">
        <x:f>F147*'Assumptions'!$B$7*(1+'Assumptions'!$B$9)</x:f>
        <x:v>12.234720000000001</x:v>
      </x:c>
      <x:c r="J147" s="281" t="n">
        <x:f>F147*('Assumptions'!$B$7+'Assumptions'!$B$8)*(1+'Assumptions'!$B$9)</x:f>
        <x:v>36.70416</x:v>
      </x:c>
      <x:c r="K147" s="296" t="n">
        <x:f>MAX(0,ROUNDUP(J147-E147,0))</x:f>
        <x:v>37</x:v>
      </x:c>
      <x:c r="L147" s="298" t="n">
        <x:f>IF(F147=0,"",E147/F147)</x:f>
        <x:v>0</x:v>
      </x:c>
      <x:c r="M147" s="279" t="str">
        <x:f>IF(F147=0,IF(E147&gt;0,"No recent demand","No demand / no stock"),IF(E147&lt;=I147,"Order now",IF(L147&lt;='Assumptions'!$B$8,"Review soon","Sufficient stock")))</x:f>
        <x:v>Order now</x:v>
      </x:c>
      <x:c r="N147" s="300" t="n">
        <x:f>K147*H147</x:f>
        <x:v>45.7579</x:v>
      </x:c>
    </x:row>
    <x:row r="148" ht="16.5" customHeight="1">
      <x:c r="A148" s="290" t="str">
        <x:v>SKU0061</x:v>
      </x:c>
      <x:c r="B148" s="291" t="str">
        <x:v>Product 0061</x:v>
      </x:c>
      <x:c r="C148" s="291" t="str">
        <x:v>Store C</x:v>
      </x:c>
      <x:c r="D148" s="291" t="str">
        <x:v>Supplier 68</x:v>
      </x:c>
      <x:c r="E148" s="292" t="n">
        <x:v>0</x:v>
      </x:c>
      <x:c r="F148" s="292" t="n">
        <x:v>5.0217</x:v>
      </x:c>
      <x:c r="G148" s="293" t="n">
        <x:v>49.0032</x:v>
      </x:c>
      <x:c r="H148" s="293" t="n">
        <x:v>0.3405</x:v>
      </x:c>
      <x:c r="I148" s="293" t="n">
        <x:f>F148*'Assumptions'!$B$7*(1+'Assumptions'!$B$9)</x:f>
        <x:v>12.05208</x:v>
      </x:c>
      <x:c r="J148" s="293" t="n">
        <x:f>F148*('Assumptions'!$B$7+'Assumptions'!$B$8)*(1+'Assumptions'!$B$9)</x:f>
        <x:v>36.156240000000004</x:v>
      </x:c>
      <x:c r="K148" s="295" t="n">
        <x:f>MAX(0,ROUNDUP(J148-E148,0))</x:f>
        <x:v>37</x:v>
      </x:c>
      <x:c r="L148" s="297" t="n">
        <x:f>IF(F148=0,"",E148/F148)</x:f>
        <x:v>0</x:v>
      </x:c>
      <x:c r="M148" s="291" t="str">
        <x:f>IF(F148=0,IF(E148&gt;0,"No recent demand","No demand / no stock"),IF(E148&lt;=I148,"Order now",IF(L148&lt;='Assumptions'!$B$8,"Review soon","Sufficient stock")))</x:f>
        <x:v>Order now</x:v>
      </x:c>
      <x:c r="N148" s="299" t="n">
        <x:f>K148*H148</x:f>
        <x:v>12.598500000000001</x:v>
      </x:c>
    </x:row>
    <x:row r="149" ht="16.5" customHeight="1">
      <x:c r="A149" s="278" t="str">
        <x:v>SKU1501</x:v>
      </x:c>
      <x:c r="B149" s="279" t="str">
        <x:v>Product 1501</x:v>
      </x:c>
      <x:c r="C149" s="279" t="str">
        <x:v>Store A</x:v>
      </x:c>
      <x:c r="D149" s="279" t="str">
        <x:v>Multiple suppliers</x:v>
      </x:c>
      <x:c r="E149" s="280" t="n">
        <x:v>35</x:v>
      </x:c>
      <x:c r="F149" s="280" t="n">
        <x:v>5.0217</x:v>
      </x:c>
      <x:c r="G149" s="281" t="n">
        <x:v>80.925</x:v>
      </x:c>
      <x:c r="H149" s="281" t="n">
        <x:v>0.4897</x:v>
      </x:c>
      <x:c r="I149" s="281" t="n">
        <x:f>F149*'Assumptions'!$B$7*(1+'Assumptions'!$B$9)</x:f>
        <x:v>12.05208</x:v>
      </x:c>
      <x:c r="J149" s="281" t="n">
        <x:f>F149*('Assumptions'!$B$7+'Assumptions'!$B$8)*(1+'Assumptions'!$B$9)</x:f>
        <x:v>36.156240000000004</x:v>
      </x:c>
      <x:c r="K149" s="296" t="n">
        <x:f>MAX(0,ROUNDUP(J149-E149,0))</x:f>
        <x:v>2</x:v>
      </x:c>
      <x:c r="L149" s="298" t="n">
        <x:f>IF(F149=0,"",E149/F149)</x:f>
        <x:v>6.969751279447199</x:v>
      </x:c>
      <x:c r="M149" s="279" t="str">
        <x:f>IF(F149=0,IF(E149&gt;0,"No recent demand","No demand / no stock"),IF(E149&lt;=I149,"Order now",IF(L149&lt;='Assumptions'!$B$8,"Review soon","Sufficient stock")))</x:f>
        <x:v>Sufficient stock</x:v>
      </x:c>
      <x:c r="N149" s="300" t="n">
        <x:f>K149*H149</x:f>
        <x:v>0.9794</x:v>
      </x:c>
    </x:row>
    <x:row r="150" ht="16.5" customHeight="1">
      <x:c r="A150" s="290" t="str">
        <x:v>SKU0146</x:v>
      </x:c>
      <x:c r="B150" s="291" t="str">
        <x:v>Product 0146</x:v>
      </x:c>
      <x:c r="C150" s="291" t="str">
        <x:v>Store C</x:v>
      </x:c>
      <x:c r="D150" s="291" t="str">
        <x:v>Supplier 68</x:v>
      </x:c>
      <x:c r="E150" s="292" t="n">
        <x:v>33</x:v>
      </x:c>
      <x:c r="F150" s="292" t="n">
        <x:v>4.9457</x:v>
      </x:c>
      <x:c r="G150" s="293" t="n">
        <x:v>58.9798</x:v>
      </x:c>
      <x:c r="H150" s="293" t="n">
        <x:v>0.3403</x:v>
      </x:c>
      <x:c r="I150" s="293" t="n">
        <x:f>F150*'Assumptions'!$B$7*(1+'Assumptions'!$B$9)</x:f>
        <x:v>11.86968</x:v>
      </x:c>
      <x:c r="J150" s="293" t="n">
        <x:f>F150*('Assumptions'!$B$7+'Assumptions'!$B$8)*(1+'Assumptions'!$B$9)</x:f>
        <x:v>35.60904</x:v>
      </x:c>
      <x:c r="K150" s="295" t="n">
        <x:f>MAX(0,ROUNDUP(J150-E150,0))</x:f>
        <x:v>3</x:v>
      </x:c>
      <x:c r="L150" s="297" t="n">
        <x:f>IF(F150=0,"",E150/F150)</x:f>
        <x:v>6.672462947611056</x:v>
      </x:c>
      <x:c r="M150" s="291" t="str">
        <x:f>IF(F150=0,IF(E150&gt;0,"No recent demand","No demand / no stock"),IF(E150&lt;=I150,"Order now",IF(L150&lt;='Assumptions'!$B$8,"Review soon","Sufficient stock")))</x:f>
        <x:v>Sufficient stock</x:v>
      </x:c>
      <x:c r="N150" s="299" t="n">
        <x:f>K150*H150</x:f>
        <x:v>1.0209</x:v>
      </x:c>
    </x:row>
    <x:row r="151" ht="16.5" customHeight="1">
      <x:c r="A151" s="278" t="str">
        <x:v>SKU0232</x:v>
      </x:c>
      <x:c r="B151" s="279" t="str">
        <x:v>Product 0232</x:v>
      </x:c>
      <x:c r="C151" s="279" t="str">
        <x:v>Store B</x:v>
      </x:c>
      <x:c r="D151" s="279" t="str">
        <x:v>Supplier 02</x:v>
      </x:c>
      <x:c r="E151" s="280" t="n">
        <x:v>83</x:v>
      </x:c>
      <x:c r="F151" s="280" t="n">
        <x:v>4.9457</x:v>
      </x:c>
      <x:c r="G151" s="281" t="n">
        <x:v>42.9608</x:v>
      </x:c>
      <x:c r="H151" s="281" t="n">
        <x:v>0.1328</x:v>
      </x:c>
      <x:c r="I151" s="281" t="n">
        <x:f>F151*'Assumptions'!$B$7*(1+'Assumptions'!$B$9)</x:f>
        <x:v>11.86968</x:v>
      </x:c>
      <x:c r="J151" s="281" t="n">
        <x:f>F151*('Assumptions'!$B$7+'Assumptions'!$B$8)*(1+'Assumptions'!$B$9)</x:f>
        <x:v>35.60904</x:v>
      </x:c>
      <x:c r="K151" s="296" t="n">
        <x:f>MAX(0,ROUNDUP(J151-E151,0))</x:f>
        <x:v>0</x:v>
      </x:c>
      <x:c r="L151" s="298" t="n">
        <x:f>IF(F151=0,"",E151/F151)</x:f>
        <x:v>16.78225529247629</x:v>
      </x:c>
      <x:c r="M151" s="279" t="str">
        <x:f>IF(F151=0,IF(E151&gt;0,"No recent demand","No demand / no stock"),IF(E151&lt;=I151,"Order now",IF(L151&lt;='Assumptions'!$B$8,"Review soon","Sufficient stock")))</x:f>
        <x:v>Sufficient stock</x:v>
      </x:c>
      <x:c r="N151" s="300" t="n">
        <x:f>K151*H151</x:f>
        <x:v>0</x:v>
      </x:c>
    </x:row>
    <x:row r="152" ht="16.5" customHeight="1">
      <x:c r="A152" s="290" t="str">
        <x:v>SKU1013</x:v>
      </x:c>
      <x:c r="B152" s="291" t="str">
        <x:v>Product 1013</x:v>
      </x:c>
      <x:c r="C152" s="291" t="str">
        <x:v>Store C</x:v>
      </x:c>
      <x:c r="D152" s="291" t="str">
        <x:v>Supplier 03</x:v>
      </x:c>
      <x:c r="E152" s="292" t="n">
        <x:v>28</x:v>
      </x:c>
      <x:c r="F152" s="292" t="n">
        <x:v>4.9457</x:v>
      </x:c>
      <x:c r="G152" s="293" t="n">
        <x:v>66.8814</x:v>
      </x:c>
      <x:c r="H152" s="293" t="n">
        <x:v>0.4648</x:v>
      </x:c>
      <x:c r="I152" s="293" t="n">
        <x:f>F152*'Assumptions'!$B$7*(1+'Assumptions'!$B$9)</x:f>
        <x:v>11.86968</x:v>
      </x:c>
      <x:c r="J152" s="293" t="n">
        <x:f>F152*('Assumptions'!$B$7+'Assumptions'!$B$8)*(1+'Assumptions'!$B$9)</x:f>
        <x:v>35.60904</x:v>
      </x:c>
      <x:c r="K152" s="295" t="n">
        <x:f>MAX(0,ROUNDUP(J152-E152,0))</x:f>
        <x:v>8</x:v>
      </x:c>
      <x:c r="L152" s="297" t="n">
        <x:f>IF(F152=0,"",E152/F152)</x:f>
        <x:v>5.661483713124532</x:v>
      </x:c>
      <x:c r="M152" s="291" t="str">
        <x:f>IF(F152=0,IF(E152&gt;0,"No recent demand","No demand / no stock"),IF(E152&lt;=I152,"Order now",IF(L152&lt;='Assumptions'!$B$8,"Review soon","Sufficient stock")))</x:f>
        <x:v>Sufficient stock</x:v>
      </x:c>
      <x:c r="N152" s="299" t="n">
        <x:f>K152*H152</x:f>
        <x:v>3.7184</x:v>
      </x:c>
    </x:row>
    <x:row r="153" ht="16.5" customHeight="1">
      <x:c r="A153" s="278" t="str">
        <x:v>SKU1216</x:v>
      </x:c>
      <x:c r="B153" s="279" t="str">
        <x:v>Product 1216</x:v>
      </x:c>
      <x:c r="C153" s="279" t="str">
        <x:v>Store C</x:v>
      </x:c>
      <x:c r="D153" s="279" t="str">
        <x:v>Multiple suppliers</x:v>
      </x:c>
      <x:c r="E153" s="280" t="n">
        <x:v>1</x:v>
      </x:c>
      <x:c r="F153" s="280" t="n">
        <x:v>4.9457</x:v>
      </x:c>
      <x:c r="G153" s="281" t="n">
        <x:v>75.1814</x:v>
      </x:c>
      <x:c r="H153" s="281" t="n">
        <x:v>0.3619</x:v>
      </x:c>
      <x:c r="I153" s="281" t="n">
        <x:f>F153*'Assumptions'!$B$7*(1+'Assumptions'!$B$9)</x:f>
        <x:v>11.86968</x:v>
      </x:c>
      <x:c r="J153" s="281" t="n">
        <x:f>F153*('Assumptions'!$B$7+'Assumptions'!$B$8)*(1+'Assumptions'!$B$9)</x:f>
        <x:v>35.60904</x:v>
      </x:c>
      <x:c r="K153" s="296" t="n">
        <x:f>MAX(0,ROUNDUP(J153-E153,0))</x:f>
        <x:v>35</x:v>
      </x:c>
      <x:c r="L153" s="298" t="n">
        <x:f>IF(F153=0,"",E153/F153)</x:f>
        <x:v>0.20219584689730472</x:v>
      </x:c>
      <x:c r="M153" s="279" t="str">
        <x:f>IF(F153=0,IF(E153&gt;0,"No recent demand","No demand / no stock"),IF(E153&lt;=I153,"Order now",IF(L153&lt;='Assumptions'!$B$8,"Review soon","Sufficient stock")))</x:f>
        <x:v>Order now</x:v>
      </x:c>
      <x:c r="N153" s="300" t="n">
        <x:f>K153*H153</x:f>
        <x:v>12.6665</x:v>
      </x:c>
    </x:row>
    <x:row r="154" ht="16.5" customHeight="1">
      <x:c r="A154" s="290" t="str">
        <x:v>SKU1687</x:v>
      </x:c>
      <x:c r="B154" s="291" t="str">
        <x:v>Product 1687</x:v>
      </x:c>
      <x:c r="C154" s="291" t="str">
        <x:v>Store A</x:v>
      </x:c>
      <x:c r="D154" s="291" t="str">
        <x:v>Supplier 42</x:v>
      </x:c>
      <x:c r="E154" s="292" t="n">
        <x:v>0</x:v>
      </x:c>
      <x:c r="F154" s="292" t="n">
        <x:v>4.9457</x:v>
      </x:c>
      <x:c r="G154" s="293" t="n">
        <x:v>32.37</x:v>
      </x:c>
      <x:c r="H154" s="293" t="n">
        <x:v>0</x:v>
      </x:c>
      <x:c r="I154" s="293" t="n">
        <x:f>F154*'Assumptions'!$B$7*(1+'Assumptions'!$B$9)</x:f>
        <x:v>11.86968</x:v>
      </x:c>
      <x:c r="J154" s="293" t="n">
        <x:f>F154*('Assumptions'!$B$7+'Assumptions'!$B$8)*(1+'Assumptions'!$B$9)</x:f>
        <x:v>35.60904</x:v>
      </x:c>
      <x:c r="K154" s="295" t="n">
        <x:f>MAX(0,ROUNDUP(J154-E154,0))</x:f>
        <x:v>36</x:v>
      </x:c>
      <x:c r="L154" s="297" t="n">
        <x:f>IF(F154=0,"",E154/F154)</x:f>
        <x:v>0</x:v>
      </x:c>
      <x:c r="M154" s="291" t="str">
        <x:f>IF(F154=0,IF(E154&gt;0,"No recent demand","No demand / no stock"),IF(E154&lt;=I154,"Order now",IF(L154&lt;='Assumptions'!$B$8,"Review soon","Sufficient stock")))</x:f>
        <x:v>Order now</x:v>
      </x:c>
      <x:c r="N154" s="299" t="n">
        <x:f>K154*H154</x:f>
        <x:v>0</x:v>
      </x:c>
    </x:row>
    <x:row r="155" ht="16.5" customHeight="1">
      <x:c r="A155" s="278" t="str">
        <x:v>SKU0145</x:v>
      </x:c>
      <x:c r="B155" s="279" t="str">
        <x:v>Product 0145</x:v>
      </x:c>
      <x:c r="C155" s="279" t="str">
        <x:v>Store B</x:v>
      </x:c>
      <x:c r="D155" s="279" t="str">
        <x:v>Supplier 68</x:v>
      </x:c>
      <x:c r="E155" s="280" t="n">
        <x:v>77</x:v>
      </x:c>
      <x:c r="F155" s="280" t="n">
        <x:v>4.8696</x:v>
      </x:c>
      <x:c r="G155" s="281" t="n">
        <x:v>22.6175</x:v>
      </x:c>
      <x:c r="H155" s="281" t="n">
        <x:v>0.1231</x:v>
      </x:c>
      <x:c r="I155" s="281" t="n">
        <x:f>F155*'Assumptions'!$B$7*(1+'Assumptions'!$B$9)</x:f>
        <x:v>11.68704</x:v>
      </x:c>
      <x:c r="J155" s="281" t="n">
        <x:f>F155*('Assumptions'!$B$7+'Assumptions'!$B$8)*(1+'Assumptions'!$B$9)</x:f>
        <x:v>35.06112</x:v>
      </x:c>
      <x:c r="K155" s="296" t="n">
        <x:f>MAX(0,ROUNDUP(J155-E155,0))</x:f>
        <x:v>0</x:v>
      </x:c>
      <x:c r="L155" s="298" t="n">
        <x:f>IF(F155=0,"",E155/F155)</x:f>
        <x:v>15.812387054378183</x:v>
      </x:c>
      <x:c r="M155" s="279" t="str">
        <x:f>IF(F155=0,IF(E155&gt;0,"No recent demand","No demand / no stock"),IF(E155&lt;=I155,"Order now",IF(L155&lt;='Assumptions'!$B$8,"Review soon","Sufficient stock")))</x:f>
        <x:v>Sufficient stock</x:v>
      </x:c>
      <x:c r="N155" s="300" t="n">
        <x:f>K155*H155</x:f>
        <x:v>0</x:v>
      </x:c>
    </x:row>
    <x:row r="156" ht="16.5" customHeight="1">
      <x:c r="A156" s="290" t="str">
        <x:v>SKU0209</x:v>
      </x:c>
      <x:c r="B156" s="291" t="str">
        <x:v>Product 0209</x:v>
      </x:c>
      <x:c r="C156" s="291" t="str">
        <x:v>Store C</x:v>
      </x:c>
      <x:c r="D156" s="291" t="str">
        <x:v>Supplier 59</x:v>
      </x:c>
      <x:c r="E156" s="292" t="n">
        <x:v>0</x:v>
      </x:c>
      <x:c r="F156" s="292" t="n">
        <x:v>4.8696</x:v>
      </x:c>
      <x:c r="G156" s="293" t="n">
        <x:v>35.358</x:v>
      </x:c>
      <x:c r="H156" s="293" t="n">
        <x:v>0.5148</x:v>
      </x:c>
      <x:c r="I156" s="293" t="n">
        <x:f>F156*'Assumptions'!$B$7*(1+'Assumptions'!$B$9)</x:f>
        <x:v>11.68704</x:v>
      </x:c>
      <x:c r="J156" s="293" t="n">
        <x:f>F156*('Assumptions'!$B$7+'Assumptions'!$B$8)*(1+'Assumptions'!$B$9)</x:f>
        <x:v>35.06112</x:v>
      </x:c>
      <x:c r="K156" s="295" t="n">
        <x:f>MAX(0,ROUNDUP(J156-E156,0))</x:f>
        <x:v>36</x:v>
      </x:c>
      <x:c r="L156" s="297" t="n">
        <x:f>IF(F156=0,"",E156/F156)</x:f>
        <x:v>0</x:v>
      </x:c>
      <x:c r="M156" s="291" t="str">
        <x:f>IF(F156=0,IF(E156&gt;0,"No recent demand","No demand / no stock"),IF(E156&lt;=I156,"Order now",IF(L156&lt;='Assumptions'!$B$8,"Review soon","Sufficient stock")))</x:f>
        <x:v>Order now</x:v>
      </x:c>
      <x:c r="N156" s="299" t="n">
        <x:f>K156*H156</x:f>
        <x:v>18.5328</x:v>
      </x:c>
    </x:row>
    <x:row r="157" ht="16.5" customHeight="1">
      <x:c r="A157" s="278" t="str">
        <x:v>SKU0635</x:v>
      </x:c>
      <x:c r="B157" s="279" t="str">
        <x:v>Product 0635</x:v>
      </x:c>
      <x:c r="C157" s="279" t="str">
        <x:v>Store C</x:v>
      </x:c>
      <x:c r="D157" s="279" t="str">
        <x:v>Supplier 02</x:v>
      </x:c>
      <x:c r="E157" s="280" t="n">
        <x:v>0</x:v>
      </x:c>
      <x:c r="F157" s="280" t="n">
        <x:v>4.8696</x:v>
      </x:c>
      <x:c r="G157" s="281" t="n">
        <x:v>126.2928</x:v>
      </x:c>
      <x:c r="H157" s="281" t="n">
        <x:v>0.7139</x:v>
      </x:c>
      <x:c r="I157" s="281" t="n">
        <x:f>F157*'Assumptions'!$B$7*(1+'Assumptions'!$B$9)</x:f>
        <x:v>11.68704</x:v>
      </x:c>
      <x:c r="J157" s="281" t="n">
        <x:f>F157*('Assumptions'!$B$7+'Assumptions'!$B$8)*(1+'Assumptions'!$B$9)</x:f>
        <x:v>35.06112</x:v>
      </x:c>
      <x:c r="K157" s="296" t="n">
        <x:f>MAX(0,ROUNDUP(J157-E157,0))</x:f>
        <x:v>36</x:v>
      </x:c>
      <x:c r="L157" s="298" t="n">
        <x:f>IF(F157=0,"",E157/F157)</x:f>
        <x:v>0</x:v>
      </x:c>
      <x:c r="M157" s="279" t="str">
        <x:f>IF(F157=0,IF(E157&gt;0,"No recent demand","No demand / no stock"),IF(E157&lt;=I157,"Order now",IF(L157&lt;='Assumptions'!$B$8,"Review soon","Sufficient stock")))</x:f>
        <x:v>Order now</x:v>
      </x:c>
      <x:c r="N157" s="300" t="n">
        <x:f>K157*H157</x:f>
        <x:v>25.7004</x:v>
      </x:c>
    </x:row>
    <x:row r="158" ht="16.5" customHeight="1">
      <x:c r="A158" s="290" t="str">
        <x:v>SKU1051</x:v>
      </x:c>
      <x:c r="B158" s="291" t="str">
        <x:v>Product 1051</x:v>
      </x:c>
      <x:c r="C158" s="291" t="str">
        <x:v>Store C</x:v>
      </x:c>
      <x:c r="D158" s="291" t="str">
        <x:v>Supplier 05</x:v>
      </x:c>
      <x:c r="E158" s="292" t="n">
        <x:v>0</x:v>
      </x:c>
      <x:c r="F158" s="292" t="n">
        <x:v>4.8696</x:v>
      </x:c>
      <x:c r="G158" s="293" t="n">
        <x:v>84.8592</x:v>
      </x:c>
      <x:c r="H158" s="293" t="n">
        <x:v>0</x:v>
      </x:c>
      <x:c r="I158" s="293" t="n">
        <x:f>F158*'Assumptions'!$B$7*(1+'Assumptions'!$B$9)</x:f>
        <x:v>11.68704</x:v>
      </x:c>
      <x:c r="J158" s="293" t="n">
        <x:f>F158*('Assumptions'!$B$7+'Assumptions'!$B$8)*(1+'Assumptions'!$B$9)</x:f>
        <x:v>35.06112</x:v>
      </x:c>
      <x:c r="K158" s="295" t="n">
        <x:f>MAX(0,ROUNDUP(J158-E158,0))</x:f>
        <x:v>36</x:v>
      </x:c>
      <x:c r="L158" s="297" t="n">
        <x:f>IF(F158=0,"",E158/F158)</x:f>
        <x:v>0</x:v>
      </x:c>
      <x:c r="M158" s="291" t="str">
        <x:f>IF(F158=0,IF(E158&gt;0,"No recent demand","No demand / no stock"),IF(E158&lt;=I158,"Order now",IF(L158&lt;='Assumptions'!$B$8,"Review soon","Sufficient stock")))</x:f>
        <x:v>Order now</x:v>
      </x:c>
      <x:c r="N158" s="299" t="n">
        <x:f>K158*H158</x:f>
        <x:v>0</x:v>
      </x:c>
    </x:row>
    <x:row r="159" ht="16.5" customHeight="1">
      <x:c r="A159" s="278" t="str">
        <x:v>SKU0802</x:v>
      </x:c>
      <x:c r="B159" s="279" t="str">
        <x:v>Product 0802</x:v>
      </x:c>
      <x:c r="C159" s="279" t="str">
        <x:v>Store C</x:v>
      </x:c>
      <x:c r="D159" s="279" t="str">
        <x:v>Supplier 66</x:v>
      </x:c>
      <x:c r="E159" s="280" t="n">
        <x:v>44</x:v>
      </x:c>
      <x:c r="F159" s="280" t="n">
        <x:v>4.7174</x:v>
      </x:c>
      <x:c r="G159" s="281" t="n">
        <x:v>97.3009</x:v>
      </x:c>
      <x:c r="H159" s="281" t="n">
        <x:v>0.6225</x:v>
      </x:c>
      <x:c r="I159" s="281" t="n">
        <x:f>F159*'Assumptions'!$B$7*(1+'Assumptions'!$B$9)</x:f>
        <x:v>11.32176</x:v>
      </x:c>
      <x:c r="J159" s="281" t="n">
        <x:f>F159*('Assumptions'!$B$7+'Assumptions'!$B$8)*(1+'Assumptions'!$B$9)</x:f>
        <x:v>33.96527999999999</x:v>
      </x:c>
      <x:c r="K159" s="296" t="n">
        <x:f>MAX(0,ROUNDUP(J159-E159,0))</x:f>
        <x:v>0</x:v>
      </x:c>
      <x:c r="L159" s="298" t="n">
        <x:f>IF(F159=0,"",E159/F159)</x:f>
        <x:v>9.327171747148855</x:v>
      </x:c>
      <x:c r="M159" s="279" t="str">
        <x:f>IF(F159=0,IF(E159&gt;0,"No recent demand","No demand / no stock"),IF(E159&lt;=I159,"Order now",IF(L159&lt;='Assumptions'!$B$8,"Review soon","Sufficient stock")))</x:f>
        <x:v>Sufficient stock</x:v>
      </x:c>
      <x:c r="N159" s="300" t="n">
        <x:f>K159*H159</x:f>
        <x:v>0</x:v>
      </x:c>
    </x:row>
    <x:row r="160" ht="16.5" customHeight="1">
      <x:c r="A160" s="290" t="str">
        <x:v>SKU1788</x:v>
      </x:c>
      <x:c r="B160" s="291" t="str">
        <x:v>Product 1788</x:v>
      </x:c>
      <x:c r="C160" s="291" t="str">
        <x:v>Store C</x:v>
      </x:c>
      <x:c r="D160" s="291" t="str">
        <x:v>Supplier 42</x:v>
      </x:c>
      <x:c r="E160" s="292" t="n">
        <x:v>1</x:v>
      </x:c>
      <x:c r="F160" s="292" t="n">
        <x:v>4.7174</x:v>
      </x:c>
      <x:c r="G160" s="293" t="n">
        <x:v>76.1525</x:v>
      </x:c>
      <x:c r="H160" s="293" t="n">
        <x:v>1.328</x:v>
      </x:c>
      <x:c r="I160" s="293" t="n">
        <x:f>F160*'Assumptions'!$B$7*(1+'Assumptions'!$B$9)</x:f>
        <x:v>11.32176</x:v>
      </x:c>
      <x:c r="J160" s="293" t="n">
        <x:f>F160*('Assumptions'!$B$7+'Assumptions'!$B$8)*(1+'Assumptions'!$B$9)</x:f>
        <x:v>33.96527999999999</x:v>
      </x:c>
      <x:c r="K160" s="295" t="n">
        <x:f>MAX(0,ROUNDUP(J160-E160,0))</x:f>
        <x:v>33</x:v>
      </x:c>
      <x:c r="L160" s="297" t="n">
        <x:f>IF(F160=0,"",E160/F160)</x:f>
        <x:v>0.21198117607156486</x:v>
      </x:c>
      <x:c r="M160" s="291" t="str">
        <x:f>IF(F160=0,IF(E160&gt;0,"No recent demand","No demand / no stock"),IF(E160&lt;=I160,"Order now",IF(L160&lt;='Assumptions'!$B$8,"Review soon","Sufficient stock")))</x:f>
        <x:v>Order now</x:v>
      </x:c>
      <x:c r="N160" s="299" t="n">
        <x:f>K160*H160</x:f>
        <x:v>43.824000000000005</x:v>
      </x:c>
    </x:row>
    <x:row r="161" ht="16.5" customHeight="1">
      <x:c r="A161" s="278" t="str">
        <x:v>SKU0981</x:v>
      </x:c>
      <x:c r="B161" s="279" t="str">
        <x:v>Product 0981</x:v>
      </x:c>
      <x:c r="C161" s="279" t="str">
        <x:v>Store C</x:v>
      </x:c>
      <x:c r="D161" s="279" t="str">
        <x:v>Supplier 22</x:v>
      </x:c>
      <x:c r="E161" s="280" t="n">
        <x:v>17</x:v>
      </x:c>
      <x:c r="F161" s="280" t="n">
        <x:v>4.6413</x:v>
      </x:c>
      <x:c r="G161" s="281" t="n">
        <x:v>40.3712</x:v>
      </x:c>
      <x:c r="H161" s="281" t="n">
        <x:v>0.2905</x:v>
      </x:c>
      <x:c r="I161" s="281" t="n">
        <x:f>F161*'Assumptions'!$B$7*(1+'Assumptions'!$B$9)</x:f>
        <x:v>11.13912</x:v>
      </x:c>
      <x:c r="J161" s="281" t="n">
        <x:f>F161*('Assumptions'!$B$7+'Assumptions'!$B$8)*(1+'Assumptions'!$B$9)</x:f>
        <x:v>33.417359999999995</x:v>
      </x:c>
      <x:c r="K161" s="296" t="n">
        <x:f>MAX(0,ROUNDUP(J161-E161,0))</x:f>
        <x:v>17</x:v>
      </x:c>
      <x:c r="L161" s="298" t="n">
        <x:f>IF(F161=0,"",E161/F161)</x:f>
        <x:v>3.662766897205524</x:v>
      </x:c>
      <x:c r="M161" s="279" t="str">
        <x:f>IF(F161=0,IF(E161&gt;0,"No recent demand","No demand / no stock"),IF(E161&lt;=I161,"Order now",IF(L161&lt;='Assumptions'!$B$8,"Review soon","Sufficient stock")))</x:f>
        <x:v>Review soon</x:v>
      </x:c>
      <x:c r="N161" s="300" t="n">
        <x:f>K161*H161</x:f>
        <x:v>4.9384999999999994</x:v>
      </x:c>
    </x:row>
    <x:row r="162" ht="16.5" customHeight="1">
      <x:c r="A162" s="290" t="str">
        <x:v>SKU1687</x:v>
      </x:c>
      <x:c r="B162" s="291" t="str">
        <x:v>Product 1687</x:v>
      </x:c>
      <x:c r="C162" s="291" t="str">
        <x:v>Store B</x:v>
      </x:c>
      <x:c r="D162" s="291" t="str">
        <x:v>Supplier 42</x:v>
      </x:c>
      <x:c r="E162" s="292" t="n">
        <x:v>0</x:v>
      </x:c>
      <x:c r="F162" s="292" t="n">
        <x:v>4.6413</x:v>
      </x:c>
      <x:c r="G162" s="293" t="n">
        <x:v>30.378</x:v>
      </x:c>
      <x:c r="H162" s="293" t="n">
        <x:v>0</x:v>
      </x:c>
      <x:c r="I162" s="293" t="n">
        <x:f>F162*'Assumptions'!$B$7*(1+'Assumptions'!$B$9)</x:f>
        <x:v>11.13912</x:v>
      </x:c>
      <x:c r="J162" s="293" t="n">
        <x:f>F162*('Assumptions'!$B$7+'Assumptions'!$B$8)*(1+'Assumptions'!$B$9)</x:f>
        <x:v>33.417359999999995</x:v>
      </x:c>
      <x:c r="K162" s="295" t="n">
        <x:f>MAX(0,ROUNDUP(J162-E162,0))</x:f>
        <x:v>34</x:v>
      </x:c>
      <x:c r="L162" s="297" t="n">
        <x:f>IF(F162=0,"",E162/F162)</x:f>
        <x:v>0</x:v>
      </x:c>
      <x:c r="M162" s="291" t="str">
        <x:f>IF(F162=0,IF(E162&gt;0,"No recent demand","No demand / no stock"),IF(E162&lt;=I162,"Order now",IF(L162&lt;='Assumptions'!$B$8,"Review soon","Sufficient stock")))</x:f>
        <x:v>Order now</x:v>
      </x:c>
      <x:c r="N162" s="299" t="n">
        <x:f>K162*H162</x:f>
        <x:v>0</x:v>
      </x:c>
    </x:row>
    <x:row r="163" ht="16.5" customHeight="1">
      <x:c r="A163" s="278" t="str">
        <x:v>SKU0123</x:v>
      </x:c>
      <x:c r="B163" s="279" t="str">
        <x:v>Product 0123</x:v>
      </x:c>
      <x:c r="C163" s="279" t="str">
        <x:v>Store B</x:v>
      </x:c>
      <x:c r="D163" s="279" t="str">
        <x:v>Supplier 05</x:v>
      </x:c>
      <x:c r="E163" s="280" t="n">
        <x:v>0</x:v>
      </x:c>
      <x:c r="F163" s="280" t="n">
        <x:v>4.5652</x:v>
      </x:c>
      <x:c r="G163" s="281" t="n">
        <x:v>68.2094</x:v>
      </x:c>
      <x:c r="H163" s="281" t="n">
        <x:v>0</x:v>
      </x:c>
      <x:c r="I163" s="281" t="n">
        <x:f>F163*'Assumptions'!$B$7*(1+'Assumptions'!$B$9)</x:f>
        <x:v>10.956479999999999</x:v>
      </x:c>
      <x:c r="J163" s="281" t="n">
        <x:f>F163*('Assumptions'!$B$7+'Assumptions'!$B$8)*(1+'Assumptions'!$B$9)</x:f>
        <x:v>32.86944</x:v>
      </x:c>
      <x:c r="K163" s="296" t="n">
        <x:f>MAX(0,ROUNDUP(J163-E163,0))</x:f>
        <x:v>33</x:v>
      </x:c>
      <x:c r="L163" s="298" t="n">
        <x:f>IF(F163=0,"",E163/F163)</x:f>
        <x:v>0</x:v>
      </x:c>
      <x:c r="M163" s="279" t="str">
        <x:f>IF(F163=0,IF(E163&gt;0,"No recent demand","No demand / no stock"),IF(E163&lt;=I163,"Order now",IF(L163&lt;='Assumptions'!$B$8,"Review soon","Sufficient stock")))</x:f>
        <x:v>Order now</x:v>
      </x:c>
      <x:c r="N163" s="300" t="n">
        <x:f>K163*H163</x:f>
        <x:v>0</x:v>
      </x:c>
    </x:row>
    <x:row r="164" ht="16.5" customHeight="1">
      <x:c r="A164" s="290" t="str">
        <x:v>SKU0509</x:v>
      </x:c>
      <x:c r="B164" s="291" t="str">
        <x:v>Product 0509</x:v>
      </x:c>
      <x:c r="C164" s="291" t="str">
        <x:v>Store C</x:v>
      </x:c>
      <x:c r="D164" s="291" t="str">
        <x:v>Supplier 57</x:v>
      </x:c>
      <x:c r="E164" s="292" t="n">
        <x:v>7</x:v>
      </x:c>
      <x:c r="F164" s="292" t="n">
        <x:v>4.5652</x:v>
      </x:c>
      <x:c r="G164" s="293" t="n">
        <x:v>119.1216</x:v>
      </x:c>
      <x:c r="H164" s="293" t="n">
        <x:v>0.7609</x:v>
      </x:c>
      <x:c r="I164" s="293" t="n">
        <x:f>F164*'Assumptions'!$B$7*(1+'Assumptions'!$B$9)</x:f>
        <x:v>10.956479999999999</x:v>
      </x:c>
      <x:c r="J164" s="293" t="n">
        <x:f>F164*('Assumptions'!$B$7+'Assumptions'!$B$8)*(1+'Assumptions'!$B$9)</x:f>
        <x:v>32.86944</x:v>
      </x:c>
      <x:c r="K164" s="295" t="n">
        <x:f>MAX(0,ROUNDUP(J164-E164,0))</x:f>
        <x:v>26</x:v>
      </x:c>
      <x:c r="L164" s="297" t="n">
        <x:f>IF(F164=0,"",E164/F164)</x:f>
        <x:v>1.5333391746254272</x:v>
      </x:c>
      <x:c r="M164" s="291" t="str">
        <x:f>IF(F164=0,IF(E164&gt;0,"No recent demand","No demand / no stock"),IF(E164&lt;=I164,"Order now",IF(L164&lt;='Assumptions'!$B$8,"Review soon","Sufficient stock")))</x:f>
        <x:v>Order now</x:v>
      </x:c>
      <x:c r="N164" s="299" t="n">
        <x:f>K164*H164</x:f>
        <x:v>19.7834</x:v>
      </x:c>
    </x:row>
    <x:row r="165" ht="16.5" customHeight="1">
      <x:c r="A165" s="278" t="str">
        <x:v>SKU0711</x:v>
      </x:c>
      <x:c r="B165" s="279" t="str">
        <x:v>Product 0711</x:v>
      </x:c>
      <x:c r="C165" s="279" t="str">
        <x:v>Store B</x:v>
      </x:c>
      <x:c r="D165" s="279" t="str">
        <x:v>Supplier 02</x:v>
      </x:c>
      <x:c r="E165" s="280" t="n">
        <x:v>1</x:v>
      </x:c>
      <x:c r="F165" s="280" t="n">
        <x:v>4.5652</x:v>
      </x:c>
      <x:c r="G165" s="281" t="n">
        <x:v>44.5959</x:v>
      </x:c>
      <x:c r="H165" s="281" t="n">
        <x:v>0.2906</x:v>
      </x:c>
      <x:c r="I165" s="281" t="n">
        <x:f>F165*'Assumptions'!$B$7*(1+'Assumptions'!$B$9)</x:f>
        <x:v>10.956479999999999</x:v>
      </x:c>
      <x:c r="J165" s="281" t="n">
        <x:f>F165*('Assumptions'!$B$7+'Assumptions'!$B$8)*(1+'Assumptions'!$B$9)</x:f>
        <x:v>32.86944</x:v>
      </x:c>
      <x:c r="K165" s="296" t="n">
        <x:f>MAX(0,ROUNDUP(J165-E165,0))</x:f>
        <x:v>32</x:v>
      </x:c>
      <x:c r="L165" s="298" t="n">
        <x:f>IF(F165=0,"",E165/F165)</x:f>
        <x:v>0.21904845351791816</x:v>
      </x:c>
      <x:c r="M165" s="279" t="str">
        <x:f>IF(F165=0,IF(E165&gt;0,"No recent demand","No demand / no stock"),IF(E165&lt;=I165,"Order now",IF(L165&lt;='Assumptions'!$B$8,"Review soon","Sufficient stock")))</x:f>
        <x:v>Order now</x:v>
      </x:c>
      <x:c r="N165" s="300" t="n">
        <x:f>K165*H165</x:f>
        <x:v>9.2992</x:v>
      </x:c>
    </x:row>
    <x:row r="166" ht="16.5" customHeight="1">
      <x:c r="A166" s="290" t="str">
        <x:v>SKU0880</x:v>
      </x:c>
      <x:c r="B166" s="291" t="str">
        <x:v>Product 0880</x:v>
      </x:c>
      <x:c r="C166" s="291" t="str">
        <x:v>Store C</x:v>
      </x:c>
      <x:c r="D166" s="291" t="str">
        <x:v>Supplier 69</x:v>
      </x:c>
      <x:c r="E166" s="292" t="n">
        <x:v>1142</x:v>
      </x:c>
      <x:c r="F166" s="292" t="n">
        <x:v>4.5652</x:v>
      </x:c>
      <x:c r="G166" s="293" t="n">
        <x:v>4.9883</x:v>
      </x:c>
      <x:c r="H166" s="293" t="n">
        <x:v>0.0198</x:v>
      </x:c>
      <x:c r="I166" s="293" t="n">
        <x:f>F166*'Assumptions'!$B$7*(1+'Assumptions'!$B$9)</x:f>
        <x:v>10.956479999999999</x:v>
      </x:c>
      <x:c r="J166" s="293" t="n">
        <x:f>F166*('Assumptions'!$B$7+'Assumptions'!$B$8)*(1+'Assumptions'!$B$9)</x:f>
        <x:v>32.86944</x:v>
      </x:c>
      <x:c r="K166" s="295" t="n">
        <x:f>MAX(0,ROUNDUP(J166-E166,0))</x:f>
        <x:v>0</x:v>
      </x:c>
      <x:c r="L166" s="297" t="n">
        <x:f>IF(F166=0,"",E166/F166)</x:f>
        <x:v>250.15333391746256</x:v>
      </x:c>
      <x:c r="M166" s="291" t="str">
        <x:f>IF(F166=0,IF(E166&gt;0,"No recent demand","No demand / no stock"),IF(E166&lt;=I166,"Order now",IF(L166&lt;='Assumptions'!$B$8,"Review soon","Sufficient stock")))</x:f>
        <x:v>Sufficient stock</x:v>
      </x:c>
      <x:c r="N166" s="299" t="n">
        <x:f>K166*H166</x:f>
        <x:v>0</x:v>
      </x:c>
    </x:row>
    <x:row r="167" ht="16.5" customHeight="1">
      <x:c r="A167" s="278" t="str">
        <x:v>SKU1034</x:v>
      </x:c>
      <x:c r="B167" s="279" t="str">
        <x:v>Product 1034</x:v>
      </x:c>
      <x:c r="C167" s="279" t="str">
        <x:v>Store C</x:v>
      </x:c>
      <x:c r="D167" s="279" t="str">
        <x:v>Supplier 19</x:v>
      </x:c>
      <x:c r="E167" s="280" t="n">
        <x:v>4</x:v>
      </x:c>
      <x:c r="F167" s="280" t="n">
        <x:v>4.5652</x:v>
      </x:c>
      <x:c r="G167" s="281" t="n">
        <x:v>32.37</x:v>
      </x:c>
      <x:c r="H167" s="281" t="n">
        <x:v>0.2656</x:v>
      </x:c>
      <x:c r="I167" s="281" t="n">
        <x:f>F167*'Assumptions'!$B$7*(1+'Assumptions'!$B$9)</x:f>
        <x:v>10.956479999999999</x:v>
      </x:c>
      <x:c r="J167" s="281" t="n">
        <x:f>F167*('Assumptions'!$B$7+'Assumptions'!$B$8)*(1+'Assumptions'!$B$9)</x:f>
        <x:v>32.86944</x:v>
      </x:c>
      <x:c r="K167" s="296" t="n">
        <x:f>MAX(0,ROUNDUP(J167-E167,0))</x:f>
        <x:v>29</x:v>
      </x:c>
      <x:c r="L167" s="298" t="n">
        <x:f>IF(F167=0,"",E167/F167)</x:f>
        <x:v>0.8761938140716726</x:v>
      </x:c>
      <x:c r="M167" s="279" t="str">
        <x:f>IF(F167=0,IF(E167&gt;0,"No recent demand","No demand / no stock"),IF(E167&lt;=I167,"Order now",IF(L167&lt;='Assumptions'!$B$8,"Review soon","Sufficient stock")))</x:f>
        <x:v>Order now</x:v>
      </x:c>
      <x:c r="N167" s="300" t="n">
        <x:f>K167*H167</x:f>
        <x:v>7.7024</x:v>
      </x:c>
    </x:row>
    <x:row r="168" ht="16.5" customHeight="1">
      <x:c r="A168" s="290" t="str">
        <x:v>SKU1232</x:v>
      </x:c>
      <x:c r="B168" s="291" t="str">
        <x:v>Product 1232</x:v>
      </x:c>
      <x:c r="C168" s="291" t="str">
        <x:v>Store C</x:v>
      </x:c>
      <x:c r="D168" s="291" t="str">
        <x:v>Supplier 19</x:v>
      </x:c>
      <x:c r="E168" s="292" t="n">
        <x:v>0</x:v>
      </x:c>
      <x:c r="F168" s="292" t="n">
        <x:v>4.5652</x:v>
      </x:c>
      <x:c r="G168" s="293" t="n">
        <x:v>19.92</x:v>
      </x:c>
      <x:c r="H168" s="293" t="n">
        <x:v>0.1328</x:v>
      </x:c>
      <x:c r="I168" s="293" t="n">
        <x:f>F168*'Assumptions'!$B$7*(1+'Assumptions'!$B$9)</x:f>
        <x:v>10.956479999999999</x:v>
      </x:c>
      <x:c r="J168" s="293" t="n">
        <x:f>F168*('Assumptions'!$B$7+'Assumptions'!$B$8)*(1+'Assumptions'!$B$9)</x:f>
        <x:v>32.86944</x:v>
      </x:c>
      <x:c r="K168" s="295" t="n">
        <x:f>MAX(0,ROUNDUP(J168-E168,0))</x:f>
        <x:v>33</x:v>
      </x:c>
      <x:c r="L168" s="297" t="n">
        <x:f>IF(F168=0,"",E168/F168)</x:f>
        <x:v>0</x:v>
      </x:c>
      <x:c r="M168" s="291" t="str">
        <x:f>IF(F168=0,IF(E168&gt;0,"No recent demand","No demand / no stock"),IF(E168&lt;=I168,"Order now",IF(L168&lt;='Assumptions'!$B$8,"Review soon","Sufficient stock")))</x:f>
        <x:v>Order now</x:v>
      </x:c>
      <x:c r="N168" s="299" t="n">
        <x:f>K168*H168</x:f>
        <x:v>4.3824</x:v>
      </x:c>
    </x:row>
    <x:row r="169" ht="16.5" customHeight="1">
      <x:c r="A169" s="278" t="str">
        <x:v>SKU1324</x:v>
      </x:c>
      <x:c r="B169" s="279" t="str">
        <x:v>Product 1324</x:v>
      </x:c>
      <x:c r="C169" s="279" t="str">
        <x:v>Store C</x:v>
      </x:c>
      <x:c r="D169" s="279" t="str">
        <x:v>Supplier 03</x:v>
      </x:c>
      <x:c r="E169" s="280" t="n">
        <x:v>0</x:v>
      </x:c>
      <x:c r="F169" s="280" t="n">
        <x:v>4.5652</x:v>
      </x:c>
      <x:c r="G169" s="281" t="n">
        <x:v>82.9668</x:v>
      </x:c>
      <x:c r="H169" s="281" t="n">
        <x:v>0</x:v>
      </x:c>
      <x:c r="I169" s="281" t="n">
        <x:f>F169*'Assumptions'!$B$7*(1+'Assumptions'!$B$9)</x:f>
        <x:v>10.956479999999999</x:v>
      </x:c>
      <x:c r="J169" s="281" t="n">
        <x:f>F169*('Assumptions'!$B$7+'Assumptions'!$B$8)*(1+'Assumptions'!$B$9)</x:f>
        <x:v>32.86944</x:v>
      </x:c>
      <x:c r="K169" s="296" t="n">
        <x:f>MAX(0,ROUNDUP(J169-E169,0))</x:f>
        <x:v>33</x:v>
      </x:c>
      <x:c r="L169" s="298" t="n">
        <x:f>IF(F169=0,"",E169/F169)</x:f>
        <x:v>0</x:v>
      </x:c>
      <x:c r="M169" s="279" t="str">
        <x:f>IF(F169=0,IF(E169&gt;0,"No recent demand","No demand / no stock"),IF(E169&lt;=I169,"Order now",IF(L169&lt;='Assumptions'!$B$8,"Review soon","Sufficient stock")))</x:f>
        <x:v>Order now</x:v>
      </x:c>
      <x:c r="N169" s="300" t="n">
        <x:f>K169*H169</x:f>
        <x:v>0</x:v>
      </x:c>
    </x:row>
    <x:row r="170" ht="16.5" customHeight="1">
      <x:c r="A170" s="290" t="str">
        <x:v>SKU1398</x:v>
      </x:c>
      <x:c r="B170" s="291" t="str">
        <x:v>Product 1398</x:v>
      </x:c>
      <x:c r="C170" s="291" t="str">
        <x:v>Store B</x:v>
      </x:c>
      <x:c r="D170" s="291" t="str">
        <x:v>Multiple suppliers</x:v>
      </x:c>
      <x:c r="E170" s="292" t="n">
        <x:v>98</x:v>
      </x:c>
      <x:c r="F170" s="292" t="n">
        <x:v>4.5652</x:v>
      </x:c>
      <x:c r="G170" s="293" t="n">
        <x:v>14.6661</x:v>
      </x:c>
      <x:c r="H170" s="293" t="n">
        <x:v>0.0743</x:v>
      </x:c>
      <x:c r="I170" s="293" t="n">
        <x:f>F170*'Assumptions'!$B$7*(1+'Assumptions'!$B$9)</x:f>
        <x:v>10.956479999999999</x:v>
      </x:c>
      <x:c r="J170" s="293" t="n">
        <x:f>F170*('Assumptions'!$B$7+'Assumptions'!$B$8)*(1+'Assumptions'!$B$9)</x:f>
        <x:v>32.86944</x:v>
      </x:c>
      <x:c r="K170" s="295" t="n">
        <x:f>MAX(0,ROUNDUP(J170-E170,0))</x:f>
        <x:v>0</x:v>
      </x:c>
      <x:c r="L170" s="297" t="n">
        <x:f>IF(F170=0,"",E170/F170)</x:f>
        <x:v>21.46674844475598</x:v>
      </x:c>
      <x:c r="M170" s="291" t="str">
        <x:f>IF(F170=0,IF(E170&gt;0,"No recent demand","No demand / no stock"),IF(E170&lt;=I170,"Order now",IF(L170&lt;='Assumptions'!$B$8,"Review soon","Sufficient stock")))</x:f>
        <x:v>Sufficient stock</x:v>
      </x:c>
      <x:c r="N170" s="299" t="n">
        <x:f>K170*H170</x:f>
        <x:v>0</x:v>
      </x:c>
    </x:row>
    <x:row r="171" ht="16.5" customHeight="1">
      <x:c r="A171" s="278" t="str">
        <x:v>SKU1436</x:v>
      </x:c>
      <x:c r="B171" s="279" t="str">
        <x:v>Product 1436</x:v>
      </x:c>
      <x:c r="C171" s="279" t="str">
        <x:v>Store B</x:v>
      </x:c>
      <x:c r="D171" s="279" t="str">
        <x:v>Multiple suppliers</x:v>
      </x:c>
      <x:c r="E171" s="280" t="n">
        <x:v>33</x:v>
      </x:c>
      <x:c r="F171" s="280" t="n">
        <x:v>4.4891</x:v>
      </x:c>
      <x:c r="G171" s="281" t="n">
        <x:v>14.3424</x:v>
      </x:c>
      <x:c r="H171" s="281" t="n">
        <x:v>0.0743</x:v>
      </x:c>
      <x:c r="I171" s="281" t="n">
        <x:f>F171*'Assumptions'!$B$7*(1+'Assumptions'!$B$9)</x:f>
        <x:v>10.773839999999998</x:v>
      </x:c>
      <x:c r="J171" s="281" t="n">
        <x:f>F171*('Assumptions'!$B$7+'Assumptions'!$B$8)*(1+'Assumptions'!$B$9)</x:f>
        <x:v>32.32151999999999</x:v>
      </x:c>
      <x:c r="K171" s="296" t="n">
        <x:f>MAX(0,ROUNDUP(J171-E171,0))</x:f>
        <x:v>0</x:v>
      </x:c>
      <x:c r="L171" s="298" t="n">
        <x:f>IF(F171=0,"",E171/F171)</x:f>
        <x:v>7.351139426611125</x:v>
      </x:c>
      <x:c r="M171" s="279" t="str">
        <x:f>IF(F171=0,IF(E171&gt;0,"No recent demand","No demand / no stock"),IF(E171&lt;=I171,"Order now",IF(L171&lt;='Assumptions'!$B$8,"Review soon","Sufficient stock")))</x:f>
        <x:v>Sufficient stock</x:v>
      </x:c>
      <x:c r="N171" s="300" t="n">
        <x:f>K171*H171</x:f>
        <x:v>0</x:v>
      </x:c>
    </x:row>
    <x:row r="172" ht="16.5" customHeight="1">
      <x:c r="A172" s="290" t="str">
        <x:v>SKU0463</x:v>
      </x:c>
      <x:c r="B172" s="291" t="str">
        <x:v>Product 0463</x:v>
      </x:c>
      <x:c r="C172" s="291" t="str">
        <x:v>Store C</x:v>
      </x:c>
      <x:c r="D172" s="291" t="str">
        <x:v>Supplier 02</x:v>
      </x:c>
      <x:c r="E172" s="292" t="n">
        <x:v>32</x:v>
      </x:c>
      <x:c r="F172" s="292" t="n">
        <x:v>4.413</x:v>
      </x:c>
      <x:c r="G172" s="293" t="n">
        <x:v>28.4358</x:v>
      </x:c>
      <x:c r="H172" s="293" t="n">
        <x:v>0.1577</x:v>
      </x:c>
      <x:c r="I172" s="293" t="n">
        <x:f>F172*'Assumptions'!$B$7*(1+'Assumptions'!$B$9)</x:f>
        <x:v>10.5912</x:v>
      </x:c>
      <x:c r="J172" s="293" t="n">
        <x:f>F172*('Assumptions'!$B$7+'Assumptions'!$B$8)*(1+'Assumptions'!$B$9)</x:f>
        <x:v>31.773600000000002</x:v>
      </x:c>
      <x:c r="K172" s="295" t="n">
        <x:f>MAX(0,ROUNDUP(J172-E172,0))</x:f>
        <x:v>0</x:v>
      </x:c>
      <x:c r="L172" s="297" t="n">
        <x:f>IF(F172=0,"",E172/F172)</x:f>
        <x:v>7.251302968502152</x:v>
      </x:c>
      <x:c r="M172" s="291" t="str">
        <x:f>IF(F172=0,IF(E172&gt;0,"No recent demand","No demand / no stock"),IF(E172&lt;=I172,"Order now",IF(L172&lt;='Assumptions'!$B$8,"Review soon","Sufficient stock")))</x:f>
        <x:v>Sufficient stock</x:v>
      </x:c>
      <x:c r="N172" s="299" t="n">
        <x:f>K172*H172</x:f>
        <x:v>0</x:v>
      </x:c>
    </x:row>
    <x:row r="173" ht="16.5" customHeight="1">
      <x:c r="A173" s="278" t="str">
        <x:v>SKU0653</x:v>
      </x:c>
      <x:c r="B173" s="279" t="str">
        <x:v>Product 0653</x:v>
      </x:c>
      <x:c r="C173" s="279" t="str">
        <x:v>Store C</x:v>
      </x:c>
      <x:c r="D173" s="279" t="str">
        <x:v>Supplier 02</x:v>
      </x:c>
      <x:c r="E173" s="280" t="n">
        <x:v>29</x:v>
      </x:c>
      <x:c r="F173" s="280" t="n">
        <x:v>4.413</x:v>
      </x:c>
      <x:c r="G173" s="281" t="n">
        <x:v>104.995</x:v>
      </x:c>
      <x:c r="H173" s="281" t="n">
        <x:v>0.4067</x:v>
      </x:c>
      <x:c r="I173" s="281" t="n">
        <x:f>F173*'Assumptions'!$B$7*(1+'Assumptions'!$B$9)</x:f>
        <x:v>10.5912</x:v>
      </x:c>
      <x:c r="J173" s="281" t="n">
        <x:f>F173*('Assumptions'!$B$7+'Assumptions'!$B$8)*(1+'Assumptions'!$B$9)</x:f>
        <x:v>31.773600000000002</x:v>
      </x:c>
      <x:c r="K173" s="296" t="n">
        <x:f>MAX(0,ROUNDUP(J173-E173,0))</x:f>
        <x:v>3</x:v>
      </x:c>
      <x:c r="L173" s="298" t="n">
        <x:f>IF(F173=0,"",E173/F173)</x:f>
        <x:v>6.571493315205076</x:v>
      </x:c>
      <x:c r="M173" s="279" t="str">
        <x:f>IF(F173=0,IF(E173&gt;0,"No recent demand","No demand / no stock"),IF(E173&lt;=I173,"Order now",IF(L173&lt;='Assumptions'!$B$8,"Review soon","Sufficient stock")))</x:f>
        <x:v>Sufficient stock</x:v>
      </x:c>
      <x:c r="N173" s="300" t="n">
        <x:f>K173*H173</x:f>
        <x:v>1.2201</x:v>
      </x:c>
    </x:row>
    <x:row r="174" ht="16.5" customHeight="1">
      <x:c r="A174" s="290" t="str">
        <x:v>SKU1013</x:v>
      </x:c>
      <x:c r="B174" s="291" t="str">
        <x:v>Product 1013</x:v>
      </x:c>
      <x:c r="C174" s="291" t="str">
        <x:v>Store B</x:v>
      </x:c>
      <x:c r="D174" s="291" t="str">
        <x:v>Supplier 03</x:v>
      </x:c>
      <x:c r="E174" s="292" t="n">
        <x:v>28</x:v>
      </x:c>
      <x:c r="F174" s="292" t="n">
        <x:v>4.413</x:v>
      </x:c>
      <x:c r="G174" s="293" t="n">
        <x:v>59.6936</x:v>
      </x:c>
      <x:c r="H174" s="293" t="n">
        <x:v>0.4648</x:v>
      </x:c>
      <x:c r="I174" s="293" t="n">
        <x:f>F174*'Assumptions'!$B$7*(1+'Assumptions'!$B$9)</x:f>
        <x:v>10.5912</x:v>
      </x:c>
      <x:c r="J174" s="293" t="n">
        <x:f>F174*('Assumptions'!$B$7+'Assumptions'!$B$8)*(1+'Assumptions'!$B$9)</x:f>
        <x:v>31.773600000000002</x:v>
      </x:c>
      <x:c r="K174" s="295" t="n">
        <x:f>MAX(0,ROUNDUP(J174-E174,0))</x:f>
        <x:v>4</x:v>
      </x:c>
      <x:c r="L174" s="297" t="n">
        <x:f>IF(F174=0,"",E174/F174)</x:f>
        <x:v>6.344890097439383</x:v>
      </x:c>
      <x:c r="M174" s="291" t="str">
        <x:f>IF(F174=0,IF(E174&gt;0,"No recent demand","No demand / no stock"),IF(E174&lt;=I174,"Order now",IF(L174&lt;='Assumptions'!$B$8,"Review soon","Sufficient stock")))</x:f>
        <x:v>Sufficient stock</x:v>
      </x:c>
      <x:c r="N174" s="299" t="n">
        <x:f>K174*H174</x:f>
        <x:v>1.8592</x:v>
      </x:c>
    </x:row>
    <x:row r="175" ht="16.5" customHeight="1">
      <x:c r="A175" s="278" t="str">
        <x:v>SKU1079</x:v>
      </x:c>
      <x:c r="B175" s="279" t="str">
        <x:v>Product 1079</x:v>
      </x:c>
      <x:c r="C175" s="279" t="str">
        <x:v>Store C</x:v>
      </x:c>
      <x:c r="D175" s="279" t="str">
        <x:v>Supplier 02</x:v>
      </x:c>
      <x:c r="E175" s="280" t="n">
        <x:v>33</x:v>
      </x:c>
      <x:c r="F175" s="280" t="n">
        <x:v>4.413</x:v>
      </x:c>
      <x:c r="G175" s="281" t="n">
        <x:v>91.466</x:v>
      </x:c>
      <x:c r="H175" s="281" t="n">
        <x:v>0.3776</x:v>
      </x:c>
      <x:c r="I175" s="281" t="n">
        <x:f>F175*'Assumptions'!$B$7*(1+'Assumptions'!$B$9)</x:f>
        <x:v>10.5912</x:v>
      </x:c>
      <x:c r="J175" s="281" t="n">
        <x:f>F175*('Assumptions'!$B$7+'Assumptions'!$B$8)*(1+'Assumptions'!$B$9)</x:f>
        <x:v>31.773600000000002</x:v>
      </x:c>
      <x:c r="K175" s="296" t="n">
        <x:f>MAX(0,ROUNDUP(J175-E175,0))</x:f>
        <x:v>0</x:v>
      </x:c>
      <x:c r="L175" s="298" t="n">
        <x:f>IF(F175=0,"",E175/F175)</x:f>
        <x:v>7.477906186267845</x:v>
      </x:c>
      <x:c r="M175" s="279" t="str">
        <x:f>IF(F175=0,IF(E175&gt;0,"No recent demand","No demand / no stock"),IF(E175&lt;=I175,"Order now",IF(L175&lt;='Assumptions'!$B$8,"Review soon","Sufficient stock")))</x:f>
        <x:v>Sufficient stock</x:v>
      </x:c>
      <x:c r="N175" s="300" t="n">
        <x:f>K175*H175</x:f>
        <x:v>0</x:v>
      </x:c>
    </x:row>
    <x:row r="176" ht="16.5" customHeight="1">
      <x:c r="A176" s="290" t="str">
        <x:v>SKU1606</x:v>
      </x:c>
      <x:c r="B176" s="291" t="str">
        <x:v>Product 1606</x:v>
      </x:c>
      <x:c r="C176" s="291" t="str">
        <x:v>Store C</x:v>
      </x:c>
      <x:c r="D176" s="291" t="str">
        <x:v>Supplier 07</x:v>
      </x:c>
      <x:c r="E176" s="292" t="n">
        <x:v>17</x:v>
      </x:c>
      <x:c r="F176" s="292" t="n">
        <x:v>4.413</x:v>
      </x:c>
      <x:c r="G176" s="293" t="n">
        <x:v>81.5558</x:v>
      </x:c>
      <x:c r="H176" s="293" t="n">
        <x:v>0.6641</x:v>
      </x:c>
      <x:c r="I176" s="293" t="n">
        <x:f>F176*'Assumptions'!$B$7*(1+'Assumptions'!$B$9)</x:f>
        <x:v>10.5912</x:v>
      </x:c>
      <x:c r="J176" s="293" t="n">
        <x:f>F176*('Assumptions'!$B$7+'Assumptions'!$B$8)*(1+'Assumptions'!$B$9)</x:f>
        <x:v>31.773600000000002</x:v>
      </x:c>
      <x:c r="K176" s="295" t="n">
        <x:f>MAX(0,ROUNDUP(J176-E176,0))</x:f>
        <x:v>15</x:v>
      </x:c>
      <x:c r="L176" s="297" t="n">
        <x:f>IF(F176=0,"",E176/F176)</x:f>
        <x:v>3.8522547020167686</x:v>
      </x:c>
      <x:c r="M176" s="291" t="str">
        <x:f>IF(F176=0,IF(E176&gt;0,"No recent demand","No demand / no stock"),IF(E176&lt;=I176,"Order now",IF(L176&lt;='Assumptions'!$B$8,"Review soon","Sufficient stock")))</x:f>
        <x:v>Review soon</x:v>
      </x:c>
      <x:c r="N176" s="299" t="n">
        <x:f>K176*H176</x:f>
        <x:v>9.961500000000001</x:v>
      </x:c>
    </x:row>
    <x:row r="177" ht="16.5" customHeight="1">
      <x:c r="A177" s="278" t="str">
        <x:v>SKU0709</x:v>
      </x:c>
      <x:c r="B177" s="279" t="str">
        <x:v>Product 0709</x:v>
      </x:c>
      <x:c r="C177" s="279" t="str">
        <x:v>Store B</x:v>
      </x:c>
      <x:c r="D177" s="279" t="str">
        <x:v>Supplier 02</x:v>
      </x:c>
      <x:c r="E177" s="280" t="n">
        <x:v>0</x:v>
      </x:c>
      <x:c r="F177" s="280" t="n">
        <x:v>4.337</x:v>
      </x:c>
      <x:c r="G177" s="281" t="n">
        <x:v>46.978</x:v>
      </x:c>
      <x:c r="H177" s="281" t="n">
        <x:v>0.2</x:v>
      </x:c>
      <x:c r="I177" s="281" t="n">
        <x:f>F177*'Assumptions'!$B$7*(1+'Assumptions'!$B$9)</x:f>
        <x:v>10.4088</x:v>
      </x:c>
      <x:c r="J177" s="281" t="n">
        <x:f>F177*('Assumptions'!$B$7+'Assumptions'!$B$8)*(1+'Assumptions'!$B$9)</x:f>
        <x:v>31.226399999999998</x:v>
      </x:c>
      <x:c r="K177" s="296" t="n">
        <x:f>MAX(0,ROUNDUP(J177-E177,0))</x:f>
        <x:v>32</x:v>
      </x:c>
      <x:c r="L177" s="298" t="n">
        <x:f>IF(F177=0,"",E177/F177)</x:f>
        <x:v>0</x:v>
      </x:c>
      <x:c r="M177" s="279" t="str">
        <x:f>IF(F177=0,IF(E177&gt;0,"No recent demand","No demand / no stock"),IF(E177&lt;=I177,"Order now",IF(L177&lt;='Assumptions'!$B$8,"Review soon","Sufficient stock")))</x:f>
        <x:v>Order now</x:v>
      </x:c>
      <x:c r="N177" s="300" t="n">
        <x:f>K177*H177</x:f>
        <x:v>6.4</x:v>
      </x:c>
    </x:row>
    <x:row r="178" ht="16.5" customHeight="1">
      <x:c r="A178" s="290" t="str">
        <x:v>SKU0711</x:v>
      </x:c>
      <x:c r="B178" s="291" t="str">
        <x:v>Product 0711</x:v>
      </x:c>
      <x:c r="C178" s="291" t="str">
        <x:v>Store C</x:v>
      </x:c>
      <x:c r="D178" s="291" t="str">
        <x:v>Supplier 02</x:v>
      </x:c>
      <x:c r="E178" s="292" t="n">
        <x:v>0</x:v>
      </x:c>
      <x:c r="F178" s="292" t="n">
        <x:v>4.337</x:v>
      </x:c>
      <x:c r="G178" s="293" t="n">
        <x:v>42.5043</x:v>
      </x:c>
      <x:c r="H178" s="293" t="n">
        <x:v>0.2905</x:v>
      </x:c>
      <x:c r="I178" s="293" t="n">
        <x:f>F178*'Assumptions'!$B$7*(1+'Assumptions'!$B$9)</x:f>
        <x:v>10.4088</x:v>
      </x:c>
      <x:c r="J178" s="293" t="n">
        <x:f>F178*('Assumptions'!$B$7+'Assumptions'!$B$8)*(1+'Assumptions'!$B$9)</x:f>
        <x:v>31.226399999999998</x:v>
      </x:c>
      <x:c r="K178" s="295" t="n">
        <x:f>MAX(0,ROUNDUP(J178-E178,0))</x:f>
        <x:v>32</x:v>
      </x:c>
      <x:c r="L178" s="297" t="n">
        <x:f>IF(F178=0,"",E178/F178)</x:f>
        <x:v>0</x:v>
      </x:c>
      <x:c r="M178" s="291" t="str">
        <x:f>IF(F178=0,IF(E178&gt;0,"No recent demand","No demand / no stock"),IF(E178&lt;=I178,"Order now",IF(L178&lt;='Assumptions'!$B$8,"Review soon","Sufficient stock")))</x:f>
        <x:v>Order now</x:v>
      </x:c>
      <x:c r="N178" s="299" t="n">
        <x:f>K178*H178</x:f>
        <x:v>9.296</x:v>
      </x:c>
    </x:row>
    <x:row r="179" ht="16.5" customHeight="1">
      <x:c r="A179" s="278" t="str">
        <x:v>SKU0152</x:v>
      </x:c>
      <x:c r="B179" s="279" t="str">
        <x:v>Product 0152</x:v>
      </x:c>
      <x:c r="C179" s="279" t="str">
        <x:v>Store B</x:v>
      </x:c>
      <x:c r="D179" s="279" t="str">
        <x:v>Supplier 68</x:v>
      </x:c>
      <x:c r="E179" s="280" t="n">
        <x:v>90</x:v>
      </x:c>
      <x:c r="F179" s="280" t="n">
        <x:v>4.2609</x:v>
      </x:c>
      <x:c r="G179" s="281" t="n">
        <x:v>19.3971</x:v>
      </x:c>
      <x:c r="H179" s="281" t="n">
        <x:v>0.1231</x:v>
      </x:c>
      <x:c r="I179" s="281" t="n">
        <x:f>F179*'Assumptions'!$B$7*(1+'Assumptions'!$B$9)</x:f>
        <x:v>10.22616</x:v>
      </x:c>
      <x:c r="J179" s="281" t="n">
        <x:f>F179*('Assumptions'!$B$7+'Assumptions'!$B$8)*(1+'Assumptions'!$B$9)</x:f>
        <x:v>30.678480000000004</x:v>
      </x:c>
      <x:c r="K179" s="296" t="n">
        <x:f>MAX(0,ROUNDUP(J179-E179,0))</x:f>
        <x:v>0</x:v>
      </x:c>
      <x:c r="L179" s="298" t="n">
        <x:f>IF(F179=0,"",E179/F179)</x:f>
        <x:v>21.122298106033934</x:v>
      </x:c>
      <x:c r="M179" s="279" t="str">
        <x:f>IF(F179=0,IF(E179&gt;0,"No recent demand","No demand / no stock"),IF(E179&lt;=I179,"Order now",IF(L179&lt;='Assumptions'!$B$8,"Review soon","Sufficient stock")))</x:f>
        <x:v>Sufficient stock</x:v>
      </x:c>
      <x:c r="N179" s="300" t="n">
        <x:f>K179*H179</x:f>
        <x:v>0</x:v>
      </x:c>
    </x:row>
    <x:row r="180" ht="16.5" customHeight="1">
      <x:c r="A180" s="290" t="str">
        <x:v>SKU1034</x:v>
      </x:c>
      <x:c r="B180" s="291" t="str">
        <x:v>Product 1034</x:v>
      </x:c>
      <x:c r="C180" s="291" t="str">
        <x:v>Store B</x:v>
      </x:c>
      <x:c r="D180" s="291" t="str">
        <x:v>Supplier 19</x:v>
      </x:c>
      <x:c r="E180" s="292" t="n">
        <x:v>13</x:v>
      </x:c>
      <x:c r="F180" s="292" t="n">
        <x:v>4.2609</x:v>
      </x:c>
      <x:c r="G180" s="293" t="n">
        <x:v>30.1041</x:v>
      </x:c>
      <x:c r="H180" s="293" t="n">
        <x:v>0.2656</x:v>
      </x:c>
      <x:c r="I180" s="293" t="n">
        <x:f>F180*'Assumptions'!$B$7*(1+'Assumptions'!$B$9)</x:f>
        <x:v>10.22616</x:v>
      </x:c>
      <x:c r="J180" s="293" t="n">
        <x:f>F180*('Assumptions'!$B$7+'Assumptions'!$B$8)*(1+'Assumptions'!$B$9)</x:f>
        <x:v>30.678480000000004</x:v>
      </x:c>
      <x:c r="K180" s="295" t="n">
        <x:f>MAX(0,ROUNDUP(J180-E180,0))</x:f>
        <x:v>18</x:v>
      </x:c>
      <x:c r="L180" s="297" t="n">
        <x:f>IF(F180=0,"",E180/F180)</x:f>
        <x:v>3.0509986153160127</x:v>
      </x:c>
      <x:c r="M180" s="291" t="str">
        <x:f>IF(F180=0,IF(E180&gt;0,"No recent demand","No demand / no stock"),IF(E180&lt;=I180,"Order now",IF(L180&lt;='Assumptions'!$B$8,"Review soon","Sufficient stock")))</x:f>
        <x:v>Review soon</x:v>
      </x:c>
      <x:c r="N180" s="299" t="n">
        <x:f>K180*H180</x:f>
        <x:v>4.7808</x:v>
      </x:c>
    </x:row>
    <x:row r="181" ht="16.5" customHeight="1">
      <x:c r="A181" s="278" t="str">
        <x:v>SKU1090</x:v>
      </x:c>
      <x:c r="B181" s="279" t="str">
        <x:v>Product 1090</x:v>
      </x:c>
      <x:c r="C181" s="279" t="str">
        <x:v>Store B</x:v>
      </x:c>
      <x:c r="D181" s="279" t="str">
        <x:v>Supplier 67</x:v>
      </x:c>
      <x:c r="E181" s="280" t="n">
        <x:v>59</x:v>
      </x:c>
      <x:c r="F181" s="280" t="n">
        <x:v>4.2609</x:v>
      </x:c>
      <x:c r="G181" s="281" t="n">
        <x:v>130.9408</x:v>
      </x:c>
      <x:c r="H181" s="281" t="n">
        <x:v>1.0375</x:v>
      </x:c>
      <x:c r="I181" s="281" t="n">
        <x:f>F181*'Assumptions'!$B$7*(1+'Assumptions'!$B$9)</x:f>
        <x:v>10.22616</x:v>
      </x:c>
      <x:c r="J181" s="281" t="n">
        <x:f>F181*('Assumptions'!$B$7+'Assumptions'!$B$8)*(1+'Assumptions'!$B$9)</x:f>
        <x:v>30.678480000000004</x:v>
      </x:c>
      <x:c r="K181" s="296" t="n">
        <x:f>MAX(0,ROUNDUP(J181-E181,0))</x:f>
        <x:v>0</x:v>
      </x:c>
      <x:c r="L181" s="298" t="n">
        <x:f>IF(F181=0,"",E181/F181)</x:f>
        <x:v>13.846839869511134</x:v>
      </x:c>
      <x:c r="M181" s="279" t="str">
        <x:f>IF(F181=0,IF(E181&gt;0,"No recent demand","No demand / no stock"),IF(E181&lt;=I181,"Order now",IF(L181&lt;='Assumptions'!$B$8,"Review soon","Sufficient stock")))</x:f>
        <x:v>Sufficient stock</x:v>
      </x:c>
      <x:c r="N181" s="300" t="n">
        <x:f>K181*H181</x:f>
        <x:v>0</x:v>
      </x:c>
    </x:row>
    <x:row r="182" ht="16.5" customHeight="1">
      <x:c r="A182" s="290" t="str">
        <x:v>SKU1216</x:v>
      </x:c>
      <x:c r="B182" s="291" t="str">
        <x:v>Product 1216</x:v>
      </x:c>
      <x:c r="C182" s="291" t="str">
        <x:v>Store A</x:v>
      </x:c>
      <x:c r="D182" s="291" t="str">
        <x:v>Multiple suppliers</x:v>
      </x:c>
      <x:c r="E182" s="292" t="n">
        <x:v>1</x:v>
      </x:c>
      <x:c r="F182" s="292" t="n">
        <x:v>4.2609</x:v>
      </x:c>
      <x:c r="G182" s="293" t="n">
        <x:v>63.91</x:v>
      </x:c>
      <x:c r="H182" s="293" t="n">
        <x:v>0.4537</x:v>
      </x:c>
      <x:c r="I182" s="293" t="n">
        <x:f>F182*'Assumptions'!$B$7*(1+'Assumptions'!$B$9)</x:f>
        <x:v>10.22616</x:v>
      </x:c>
      <x:c r="J182" s="293" t="n">
        <x:f>F182*('Assumptions'!$B$7+'Assumptions'!$B$8)*(1+'Assumptions'!$B$9)</x:f>
        <x:v>30.678480000000004</x:v>
      </x:c>
      <x:c r="K182" s="295" t="n">
        <x:f>MAX(0,ROUNDUP(J182-E182,0))</x:f>
        <x:v>30</x:v>
      </x:c>
      <x:c r="L182" s="297" t="n">
        <x:f>IF(F182=0,"",E182/F182)</x:f>
        <x:v>0.23469220117815484</x:v>
      </x:c>
      <x:c r="M182" s="291" t="str">
        <x:f>IF(F182=0,IF(E182&gt;0,"No recent demand","No demand / no stock"),IF(E182&lt;=I182,"Order now",IF(L182&lt;='Assumptions'!$B$8,"Review soon","Sufficient stock")))</x:f>
        <x:v>Order now</x:v>
      </x:c>
      <x:c r="N182" s="299" t="n">
        <x:f>K182*H182</x:f>
        <x:v>13.611</x:v>
      </x:c>
    </x:row>
    <x:row r="183" ht="16.5" customHeight="1">
      <x:c r="A183" s="278" t="str">
        <x:v>SKU0678</x:v>
      </x:c>
      <x:c r="B183" s="279" t="str">
        <x:v>Product 0678</x:v>
      </x:c>
      <x:c r="C183" s="279" t="str">
        <x:v>Store C</x:v>
      </x:c>
      <x:c r="D183" s="279" t="str">
        <x:v>Supplier 02</x:v>
      </x:c>
      <x:c r="E183" s="280" t="n">
        <x:v>8</x:v>
      </x:c>
      <x:c r="F183" s="280" t="n">
        <x:v>4.1848</x:v>
      </x:c>
      <x:c r="G183" s="281" t="n">
        <x:v>100.43</x:v>
      </x:c>
      <x:c r="H183" s="281" t="n">
        <x:v>0.4117</x:v>
      </x:c>
      <x:c r="I183" s="281" t="n">
        <x:f>F183*'Assumptions'!$B$7*(1+'Assumptions'!$B$9)</x:f>
        <x:v>10.04352</x:v>
      </x:c>
      <x:c r="J183" s="281" t="n">
        <x:f>F183*('Assumptions'!$B$7+'Assumptions'!$B$8)*(1+'Assumptions'!$B$9)</x:f>
        <x:v>30.130560000000003</x:v>
      </x:c>
      <x:c r="K183" s="296" t="n">
        <x:f>MAX(0,ROUNDUP(J183-E183,0))</x:f>
        <x:v>23</x:v>
      </x:c>
      <x:c r="L183" s="298" t="n">
        <x:f>IF(F183=0,"",E183/F183)</x:f>
        <x:v>1.9116803670426303</x:v>
      </x:c>
      <x:c r="M183" s="279" t="str">
        <x:f>IF(F183=0,IF(E183&gt;0,"No recent demand","No demand / no stock"),IF(E183&lt;=I183,"Order now",IF(L183&lt;='Assumptions'!$B$8,"Review soon","Sufficient stock")))</x:f>
        <x:v>Order now</x:v>
      </x:c>
      <x:c r="N183" s="300" t="n">
        <x:f>K183*H183</x:f>
        <x:v>9.469100000000001</x:v>
      </x:c>
    </x:row>
    <x:row r="184" ht="16.5" customHeight="1">
      <x:c r="A184" s="290" t="str">
        <x:v>SKU1079</x:v>
      </x:c>
      <x:c r="B184" s="291" t="str">
        <x:v>Product 1079</x:v>
      </x:c>
      <x:c r="C184" s="291" t="str">
        <x:v>Store B</x:v>
      </x:c>
      <x:c r="D184" s="291" t="str">
        <x:v>Supplier 02</x:v>
      </x:c>
      <x:c r="E184" s="292" t="n">
        <x:v>41</x:v>
      </x:c>
      <x:c r="F184" s="292" t="n">
        <x:v>4.1848</x:v>
      </x:c>
      <x:c r="G184" s="293" t="n">
        <x:v>78.85</x:v>
      </x:c>
      <x:c r="H184" s="293" t="n">
        <x:v>0.3776</x:v>
      </x:c>
      <x:c r="I184" s="293" t="n">
        <x:f>F184*'Assumptions'!$B$7*(1+'Assumptions'!$B$9)</x:f>
        <x:v>10.04352</x:v>
      </x:c>
      <x:c r="J184" s="293" t="n">
        <x:f>F184*('Assumptions'!$B$7+'Assumptions'!$B$8)*(1+'Assumptions'!$B$9)</x:f>
        <x:v>30.130560000000003</x:v>
      </x:c>
      <x:c r="K184" s="295" t="n">
        <x:f>MAX(0,ROUNDUP(J184-E184,0))</x:f>
        <x:v>0</x:v>
      </x:c>
      <x:c r="L184" s="297" t="n">
        <x:f>IF(F184=0,"",E184/F184)</x:f>
        <x:v>9.797361881093481</x:v>
      </x:c>
      <x:c r="M184" s="291" t="str">
        <x:f>IF(F184=0,IF(E184&gt;0,"No recent demand","No demand / no stock"),IF(E184&lt;=I184,"Order now",IF(L184&lt;='Assumptions'!$B$8,"Review soon","Sufficient stock")))</x:f>
        <x:v>Sufficient stock</x:v>
      </x:c>
      <x:c r="N184" s="299" t="n">
        <x:f>K184*H184</x:f>
        <x:v>0</x:v>
      </x:c>
    </x:row>
    <x:row r="185" ht="16.5" customHeight="1">
      <x:c r="A185" s="278" t="str">
        <x:v>SKU0474</x:v>
      </x:c>
      <x:c r="B185" s="279" t="str">
        <x:v>Product 0474</x:v>
      </x:c>
      <x:c r="C185" s="279" t="str">
        <x:v>Store C</x:v>
      </x:c>
      <x:c r="D185" s="279" t="str">
        <x:v>Supplier 59</x:v>
      </x:c>
      <x:c r="E185" s="280" t="n">
        <x:v>52</x:v>
      </x:c>
      <x:c r="F185" s="280" t="n">
        <x:v>4.1087</x:v>
      </x:c>
      <x:c r="G185" s="281" t="n">
        <x:v>22.327</x:v>
      </x:c>
      <x:c r="H185" s="281" t="n">
        <x:v>0.1826</x:v>
      </x:c>
      <x:c r="I185" s="281" t="n">
        <x:f>F185*'Assumptions'!$B$7*(1+'Assumptions'!$B$9)</x:f>
        <x:v>9.86088</x:v>
      </x:c>
      <x:c r="J185" s="281" t="n">
        <x:f>F185*('Assumptions'!$B$7+'Assumptions'!$B$8)*(1+'Assumptions'!$B$9)</x:f>
        <x:v>29.582639999999998</x:v>
      </x:c>
      <x:c r="K185" s="296" t="n">
        <x:f>MAX(0,ROUNDUP(J185-E185,0))</x:f>
        <x:v>0</x:v>
      </x:c>
      <x:c r="L185" s="298" t="n">
        <x:f>IF(F185=0,"",E185/F185)</x:f>
        <x:v>12.656071263416653</x:v>
      </x:c>
      <x:c r="M185" s="279" t="str">
        <x:f>IF(F185=0,IF(E185&gt;0,"No recent demand","No demand / no stock"),IF(E185&lt;=I185,"Order now",IF(L185&lt;='Assumptions'!$B$8,"Review soon","Sufficient stock")))</x:f>
        <x:v>Sufficient stock</x:v>
      </x:c>
      <x:c r="N185" s="300" t="n">
        <x:f>K185*H185</x:f>
        <x:v>0</x:v>
      </x:c>
    </x:row>
    <x:row r="186" ht="16.5" customHeight="1">
      <x:c r="A186" s="290" t="str">
        <x:v>SKU0666</x:v>
      </x:c>
      <x:c r="B186" s="291" t="str">
        <x:v>Product 0666</x:v>
      </x:c>
      <x:c r="C186" s="291" t="str">
        <x:v>Store C</x:v>
      </x:c>
      <x:c r="D186" s="291" t="str">
        <x:v>Supplier 61</x:v>
      </x:c>
      <x:c r="E186" s="292" t="n">
        <x:v>2</x:v>
      </x:c>
      <x:c r="F186" s="292" t="n">
        <x:v>4.1087</x:v>
      </x:c>
      <x:c r="G186" s="293" t="n">
        <x:v>209.9817</x:v>
      </x:c>
      <x:c r="H186" s="293" t="n">
        <x:v>1.9123</x:v>
      </x:c>
      <x:c r="I186" s="293" t="n">
        <x:f>F186*'Assumptions'!$B$7*(1+'Assumptions'!$B$9)</x:f>
        <x:v>9.86088</x:v>
      </x:c>
      <x:c r="J186" s="293" t="n">
        <x:f>F186*('Assumptions'!$B$7+'Assumptions'!$B$8)*(1+'Assumptions'!$B$9)</x:f>
        <x:v>29.582639999999998</x:v>
      </x:c>
      <x:c r="K186" s="295" t="n">
        <x:f>MAX(0,ROUNDUP(J186-E186,0))</x:f>
        <x:v>28</x:v>
      </x:c>
      <x:c r="L186" s="297" t="n">
        <x:f>IF(F186=0,"",E186/F186)</x:f>
        <x:v>0.4867719716698713</x:v>
      </x:c>
      <x:c r="M186" s="291" t="str">
        <x:f>IF(F186=0,IF(E186&gt;0,"No recent demand","No demand / no stock"),IF(E186&lt;=I186,"Order now",IF(L186&lt;='Assumptions'!$B$8,"Review soon","Sufficient stock")))</x:f>
        <x:v>Order now</x:v>
      </x:c>
      <x:c r="N186" s="299" t="n">
        <x:f>K186*H186</x:f>
        <x:v>53.5444</x:v>
      </x:c>
    </x:row>
    <x:row r="187" ht="16.5" customHeight="1">
      <x:c r="A187" s="278" t="str">
        <x:v>SKU0831</x:v>
      </x:c>
      <x:c r="B187" s="279" t="str">
        <x:v>Product 0831</x:v>
      </x:c>
      <x:c r="C187" s="279" t="str">
        <x:v>Store A</x:v>
      </x:c>
      <x:c r="D187" s="279" t="str">
        <x:v>Supplier 70</x:v>
      </x:c>
      <x:c r="E187" s="280" t="n">
        <x:v>100</x:v>
      </x:c>
      <x:c r="F187" s="280" t="n">
        <x:v>4.1087</x:v>
      </x:c>
      <x:c r="G187" s="281" t="n">
        <x:v>25.4644</x:v>
      </x:c>
      <x:c r="H187" s="281" t="n">
        <x:v>0.1701</x:v>
      </x:c>
      <x:c r="I187" s="281" t="n">
        <x:f>F187*'Assumptions'!$B$7*(1+'Assumptions'!$B$9)</x:f>
        <x:v>9.86088</x:v>
      </x:c>
      <x:c r="J187" s="281" t="n">
        <x:f>F187*('Assumptions'!$B$7+'Assumptions'!$B$8)*(1+'Assumptions'!$B$9)</x:f>
        <x:v>29.582639999999998</x:v>
      </x:c>
      <x:c r="K187" s="296" t="n">
        <x:f>MAX(0,ROUNDUP(J187-E187,0))</x:f>
        <x:v>0</x:v>
      </x:c>
      <x:c r="L187" s="298" t="n">
        <x:f>IF(F187=0,"",E187/F187)</x:f>
        <x:v>24.338598583493564</x:v>
      </x:c>
      <x:c r="M187" s="279" t="str">
        <x:f>IF(F187=0,IF(E187&gt;0,"No recent demand","No demand / no stock"),IF(E187&lt;=I187,"Order now",IF(L187&lt;='Assumptions'!$B$8,"Review soon","Sufficient stock")))</x:f>
        <x:v>Sufficient stock</x:v>
      </x:c>
      <x:c r="N187" s="300" t="n">
        <x:f>K187*H187</x:f>
        <x:v>0</x:v>
      </x:c>
    </x:row>
    <x:row r="188" ht="16.5" customHeight="1">
      <x:c r="A188" s="290" t="str">
        <x:v>SKU1051</x:v>
      </x:c>
      <x:c r="B188" s="291" t="str">
        <x:v>Product 1051</x:v>
      </x:c>
      <x:c r="C188" s="291" t="str">
        <x:v>Store B</x:v>
      </x:c>
      <x:c r="D188" s="291" t="str">
        <x:v>Supplier 05</x:v>
      </x:c>
      <x:c r="E188" s="292" t="n">
        <x:v>0</x:v>
      </x:c>
      <x:c r="F188" s="292" t="n">
        <x:v>4.1087</x:v>
      </x:c>
      <x:c r="G188" s="293" t="n">
        <x:v>71.1808</x:v>
      </x:c>
      <x:c r="H188" s="293" t="n">
        <x:v>0</x:v>
      </x:c>
      <x:c r="I188" s="293" t="n">
        <x:f>F188*'Assumptions'!$B$7*(1+'Assumptions'!$B$9)</x:f>
        <x:v>9.86088</x:v>
      </x:c>
      <x:c r="J188" s="293" t="n">
        <x:f>F188*('Assumptions'!$B$7+'Assumptions'!$B$8)*(1+'Assumptions'!$B$9)</x:f>
        <x:v>29.582639999999998</x:v>
      </x:c>
      <x:c r="K188" s="295" t="n">
        <x:f>MAX(0,ROUNDUP(J188-E188,0))</x:f>
        <x:v>30</x:v>
      </x:c>
      <x:c r="L188" s="297" t="n">
        <x:f>IF(F188=0,"",E188/F188)</x:f>
        <x:v>0</x:v>
      </x:c>
      <x:c r="M188" s="291" t="str">
        <x:f>IF(F188=0,IF(E188&gt;0,"No recent demand","No demand / no stock"),IF(E188&lt;=I188,"Order now",IF(L188&lt;='Assumptions'!$B$8,"Review soon","Sufficient stock")))</x:f>
        <x:v>Order now</x:v>
      </x:c>
      <x:c r="N188" s="299" t="n">
        <x:f>K188*H188</x:f>
        <x:v>0</x:v>
      </x:c>
    </x:row>
    <x:row r="189" ht="16.5" customHeight="1">
      <x:c r="A189" s="278" t="str">
        <x:v>SKU1096</x:v>
      </x:c>
      <x:c r="B189" s="279" t="str">
        <x:v>Product 1096</x:v>
      </x:c>
      <x:c r="C189" s="279" t="str">
        <x:v>Store C</x:v>
      </x:c>
      <x:c r="D189" s="279" t="str">
        <x:v>Supplier 09</x:v>
      </x:c>
      <x:c r="E189" s="280" t="n">
        <x:v>10</x:v>
      </x:c>
      <x:c r="F189" s="280" t="n">
        <x:v>4.1087</x:v>
      </x:c>
      <x:c r="G189" s="281" t="n">
        <x:v>79.3314</x:v>
      </x:c>
      <x:c r="H189" s="281" t="n">
        <x:v>0.415</x:v>
      </x:c>
      <x:c r="I189" s="281" t="n">
        <x:f>F189*'Assumptions'!$B$7*(1+'Assumptions'!$B$9)</x:f>
        <x:v>9.86088</x:v>
      </x:c>
      <x:c r="J189" s="281" t="n">
        <x:f>F189*('Assumptions'!$B$7+'Assumptions'!$B$8)*(1+'Assumptions'!$B$9)</x:f>
        <x:v>29.582639999999998</x:v>
      </x:c>
      <x:c r="K189" s="296" t="n">
        <x:f>MAX(0,ROUNDUP(J189-E189,0))</x:f>
        <x:v>20</x:v>
      </x:c>
      <x:c r="L189" s="298" t="n">
        <x:f>IF(F189=0,"",E189/F189)</x:f>
        <x:v>2.4338598583493565</x:v>
      </x:c>
      <x:c r="M189" s="279" t="str">
        <x:f>IF(F189=0,IF(E189&gt;0,"No recent demand","No demand / no stock"),IF(E189&lt;=I189,"Order now",IF(L189&lt;='Assumptions'!$B$8,"Review soon","Sufficient stock")))</x:f>
        <x:v>Review soon</x:v>
      </x:c>
      <x:c r="N189" s="300" t="n">
        <x:f>K189*H189</x:f>
        <x:v>8.299999999999999</x:v>
      </x:c>
    </x:row>
    <x:row r="190" ht="16.5" customHeight="1">
      <x:c r="A190" s="290" t="str">
        <x:v>SKU1513</x:v>
      </x:c>
      <x:c r="B190" s="291" t="str">
        <x:v>Product 1513</x:v>
      </x:c>
      <x:c r="C190" s="291" t="str">
        <x:v>Store C</x:v>
      </x:c>
      <x:c r="D190" s="291" t="str">
        <x:v>Supplier 24</x:v>
      </x:c>
      <x:c r="E190" s="292" t="n">
        <x:v>3</x:v>
      </x:c>
      <x:c r="F190" s="292" t="n">
        <x:v>4.1087</x:v>
      </x:c>
      <x:c r="G190" s="293" t="n">
        <x:v>43.575</x:v>
      </x:c>
      <x:c r="H190" s="293" t="n">
        <x:v>0.3818</x:v>
      </x:c>
      <x:c r="I190" s="293" t="n">
        <x:f>F190*'Assumptions'!$B$7*(1+'Assumptions'!$B$9)</x:f>
        <x:v>9.86088</x:v>
      </x:c>
      <x:c r="J190" s="293" t="n">
        <x:f>F190*('Assumptions'!$B$7+'Assumptions'!$B$8)*(1+'Assumptions'!$B$9)</x:f>
        <x:v>29.582639999999998</x:v>
      </x:c>
      <x:c r="K190" s="295" t="n">
        <x:f>MAX(0,ROUNDUP(J190-E190,0))</x:f>
        <x:v>27</x:v>
      </x:c>
      <x:c r="L190" s="297" t="n">
        <x:f>IF(F190=0,"",E190/F190)</x:f>
        <x:v>0.7301579575048069</x:v>
      </x:c>
      <x:c r="M190" s="291" t="str">
        <x:f>IF(F190=0,IF(E190&gt;0,"No recent demand","No demand / no stock"),IF(E190&lt;=I190,"Order now",IF(L190&lt;='Assumptions'!$B$8,"Review soon","Sufficient stock")))</x:f>
        <x:v>Order now</x:v>
      </x:c>
      <x:c r="N190" s="299" t="n">
        <x:f>K190*H190</x:f>
        <x:v>10.308599999999998</x:v>
      </x:c>
    </x:row>
    <x:row r="191" ht="16.5" customHeight="1">
      <x:c r="A191" s="278" t="str">
        <x:v>SKU1743</x:v>
      </x:c>
      <x:c r="B191" s="279" t="str">
        <x:v>Product 1743</x:v>
      </x:c>
      <x:c r="C191" s="279" t="str">
        <x:v>Store A</x:v>
      </x:c>
      <x:c r="D191" s="279" t="str">
        <x:v>Supplier 43</x:v>
      </x:c>
      <x:c r="E191" s="280" t="n">
        <x:v>0</x:v>
      </x:c>
      <x:c r="F191" s="280" t="n">
        <x:v>4.1087</x:v>
      </x:c>
      <x:c r="G191" s="281" t="n">
        <x:v>4.482</x:v>
      </x:c>
      <x:c r="H191" s="281" t="n">
        <x:v>0.083</x:v>
      </x:c>
      <x:c r="I191" s="281" t="n">
        <x:f>F191*'Assumptions'!$B$7*(1+'Assumptions'!$B$9)</x:f>
        <x:v>9.86088</x:v>
      </x:c>
      <x:c r="J191" s="281" t="n">
        <x:f>F191*('Assumptions'!$B$7+'Assumptions'!$B$8)*(1+'Assumptions'!$B$9)</x:f>
        <x:v>29.582639999999998</x:v>
      </x:c>
      <x:c r="K191" s="296" t="n">
        <x:f>MAX(0,ROUNDUP(J191-E191,0))</x:f>
        <x:v>30</x:v>
      </x:c>
      <x:c r="L191" s="298" t="n">
        <x:f>IF(F191=0,"",E191/F191)</x:f>
        <x:v>0</x:v>
      </x:c>
      <x:c r="M191" s="279" t="str">
        <x:f>IF(F191=0,IF(E191&gt;0,"No recent demand","No demand / no stock"),IF(E191&lt;=I191,"Order now",IF(L191&lt;='Assumptions'!$B$8,"Review soon","Sufficient stock")))</x:f>
        <x:v>Order now</x:v>
      </x:c>
      <x:c r="N191" s="300" t="n">
        <x:f>K191*H191</x:f>
        <x:v>2.49</x:v>
      </x:c>
    </x:row>
    <x:row r="192" ht="16.5" customHeight="1">
      <x:c r="A192" s="290" t="str">
        <x:v>SKU1606</x:v>
      </x:c>
      <x:c r="B192" s="291" t="str">
        <x:v>Product 1606</x:v>
      </x:c>
      <x:c r="C192" s="291" t="str">
        <x:v>Store A</x:v>
      </x:c>
      <x:c r="D192" s="291" t="str">
        <x:v>Supplier 07</x:v>
      </x:c>
      <x:c r="E192" s="292" t="n">
        <x:v>20</x:v>
      </x:c>
      <x:c r="F192" s="292" t="n">
        <x:v>4.0326</x:v>
      </x:c>
      <x:c r="G192" s="293" t="n">
        <x:v>73.2309</x:v>
      </x:c>
      <x:c r="H192" s="293" t="n">
        <x:v>0.6641</x:v>
      </x:c>
      <x:c r="I192" s="293" t="n">
        <x:f>F192*'Assumptions'!$B$7*(1+'Assumptions'!$B$9)</x:f>
        <x:v>9.67824</x:v>
      </x:c>
      <x:c r="J192" s="293" t="n">
        <x:f>F192*('Assumptions'!$B$7+'Assumptions'!$B$8)*(1+'Assumptions'!$B$9)</x:f>
        <x:v>29.03472</x:v>
      </x:c>
      <x:c r="K192" s="295" t="n">
        <x:f>MAX(0,ROUNDUP(J192-E192,0))</x:f>
        <x:v>10</x:v>
      </x:c>
      <x:c r="L192" s="297" t="n">
        <x:f>IF(F192=0,"",E192/F192)</x:f>
        <x:v>4.959579427664534</x:v>
      </x:c>
      <x:c r="M192" s="291" t="str">
        <x:f>IF(F192=0,IF(E192&gt;0,"No recent demand","No demand / no stock"),IF(E192&lt;=I192,"Order now",IF(L192&lt;='Assumptions'!$B$8,"Review soon","Sufficient stock")))</x:f>
        <x:v>Sufficient stock</x:v>
      </x:c>
      <x:c r="N192" s="299" t="n">
        <x:f>K192*H192</x:f>
        <x:v>6.641</x:v>
      </x:c>
    </x:row>
    <x:row r="193" ht="16.5" customHeight="1">
      <x:c r="A193" s="278" t="str">
        <x:v>SKU0248</x:v>
      </x:c>
      <x:c r="B193" s="279" t="str">
        <x:v>Product 0248</x:v>
      </x:c>
      <x:c r="C193" s="279" t="str">
        <x:v>Store B</x:v>
      </x:c>
      <x:c r="D193" s="279" t="str">
        <x:v>Multiple suppliers</x:v>
      </x:c>
      <x:c r="E193" s="280" t="n">
        <x:v>27</x:v>
      </x:c>
      <x:c r="F193" s="280" t="n">
        <x:v>3.9565</x:v>
      </x:c>
      <x:c r="G193" s="281" t="n">
        <x:v>79.9539</x:v>
      </x:c>
      <x:c r="H193" s="281" t="n">
        <x:v>0.679</x:v>
      </x:c>
      <x:c r="I193" s="281" t="n">
        <x:f>F193*'Assumptions'!$B$7*(1+'Assumptions'!$B$9)</x:f>
        <x:v>9.4956</x:v>
      </x:c>
      <x:c r="J193" s="281" t="n">
        <x:f>F193*('Assumptions'!$B$7+'Assumptions'!$B$8)*(1+'Assumptions'!$B$9)</x:f>
        <x:v>28.4868</x:v>
      </x:c>
      <x:c r="K193" s="296" t="n">
        <x:f>MAX(0,ROUNDUP(J193-E193,0))</x:f>
        <x:v>2</x:v>
      </x:c>
      <x:c r="L193" s="298" t="n">
        <x:f>IF(F193=0,"",E193/F193)</x:f>
        <x:v>6.824213319853405</x:v>
      </x:c>
      <x:c r="M193" s="279" t="str">
        <x:f>IF(F193=0,IF(E193&gt;0,"No recent demand","No demand / no stock"),IF(E193&lt;=I193,"Order now",IF(L193&lt;='Assumptions'!$B$8,"Review soon","Sufficient stock")))</x:f>
        <x:v>Sufficient stock</x:v>
      </x:c>
      <x:c r="N193" s="300" t="n">
        <x:f>K193*H193</x:f>
        <x:v>1.358</x:v>
      </x:c>
    </x:row>
    <x:row r="194" ht="16.5" customHeight="1">
      <x:c r="A194" s="290" t="str">
        <x:v>SKU0702</x:v>
      </x:c>
      <x:c r="B194" s="291" t="str">
        <x:v>Product 0702</x:v>
      </x:c>
      <x:c r="C194" s="291" t="str">
        <x:v>Store B</x:v>
      </x:c>
      <x:c r="D194" s="291" t="str">
        <x:v>Supplier 02</x:v>
      </x:c>
      <x:c r="E194" s="292" t="n">
        <x:v>12</x:v>
      </x:c>
      <x:c r="F194" s="292" t="n">
        <x:v>3.9565</x:v>
      </x:c>
      <x:c r="G194" s="293" t="n">
        <x:v>60.1916</x:v>
      </x:c>
      <x:c r="H194" s="293" t="n">
        <x:v>0.3503</x:v>
      </x:c>
      <x:c r="I194" s="293" t="n">
        <x:f>F194*'Assumptions'!$B$7*(1+'Assumptions'!$B$9)</x:f>
        <x:v>9.4956</x:v>
      </x:c>
      <x:c r="J194" s="293" t="n">
        <x:f>F194*('Assumptions'!$B$7+'Assumptions'!$B$8)*(1+'Assumptions'!$B$9)</x:f>
        <x:v>28.4868</x:v>
      </x:c>
      <x:c r="K194" s="295" t="n">
        <x:f>MAX(0,ROUNDUP(J194-E194,0))</x:f>
        <x:v>17</x:v>
      </x:c>
      <x:c r="L194" s="297" t="n">
        <x:f>IF(F194=0,"",E194/F194)</x:f>
        <x:v>3.0329836977126248</x:v>
      </x:c>
      <x:c r="M194" s="291" t="str">
        <x:f>IF(F194=0,IF(E194&gt;0,"No recent demand","No demand / no stock"),IF(E194&lt;=I194,"Order now",IF(L194&lt;='Assumptions'!$B$8,"Review soon","Sufficient stock")))</x:f>
        <x:v>Review soon</x:v>
      </x:c>
      <x:c r="N194" s="299" t="n">
        <x:f>K194*H194</x:f>
        <x:v>5.9551</x:v>
      </x:c>
    </x:row>
    <x:row r="195" ht="16.5" customHeight="1">
      <x:c r="A195" s="278" t="str">
        <x:v>SKU1685</x:v>
      </x:c>
      <x:c r="B195" s="279" t="str">
        <x:v>Product 1685</x:v>
      </x:c>
      <x:c r="C195" s="279" t="str">
        <x:v>Store B</x:v>
      </x:c>
      <x:c r="D195" s="279" t="str">
        <x:v>Supplier 42</x:v>
      </x:c>
      <x:c r="E195" s="280" t="n">
        <x:v>0</x:v>
      </x:c>
      <x:c r="F195" s="280" t="n">
        <x:v>3.9565</x:v>
      </x:c>
      <x:c r="G195" s="281" t="n">
        <x:v>68.89</x:v>
      </x:c>
      <x:c r="H195" s="281" t="n">
        <x:v>0.9961</x:v>
      </x:c>
      <x:c r="I195" s="281" t="n">
        <x:f>F195*'Assumptions'!$B$7*(1+'Assumptions'!$B$9)</x:f>
        <x:v>9.4956</x:v>
      </x:c>
      <x:c r="J195" s="281" t="n">
        <x:f>F195*('Assumptions'!$B$7+'Assumptions'!$B$8)*(1+'Assumptions'!$B$9)</x:f>
        <x:v>28.4868</x:v>
      </x:c>
      <x:c r="K195" s="296" t="n">
        <x:f>MAX(0,ROUNDUP(J195-E195,0))</x:f>
        <x:v>29</x:v>
      </x:c>
      <x:c r="L195" s="298" t="n">
        <x:f>IF(F195=0,"",E195/F195)</x:f>
        <x:v>0</x:v>
      </x:c>
      <x:c r="M195" s="279" t="str">
        <x:f>IF(F195=0,IF(E195&gt;0,"No recent demand","No demand / no stock"),IF(E195&lt;=I195,"Order now",IF(L195&lt;='Assumptions'!$B$8,"Review soon","Sufficient stock")))</x:f>
        <x:v>Order now</x:v>
      </x:c>
      <x:c r="N195" s="300" t="n">
        <x:f>K195*H195</x:f>
        <x:v>28.8869</x:v>
      </x:c>
    </x:row>
    <x:row r="196" ht="16.5" customHeight="1">
      <x:c r="A196" s="290" t="str">
        <x:v>SKU1787</x:v>
      </x:c>
      <x:c r="B196" s="291" t="str">
        <x:v>Product 1787</x:v>
      </x:c>
      <x:c r="C196" s="291" t="str">
        <x:v>Store B</x:v>
      </x:c>
      <x:c r="D196" s="291" t="str">
        <x:v>Supplier 42</x:v>
      </x:c>
      <x:c r="E196" s="292" t="n">
        <x:v>0</x:v>
      </x:c>
      <x:c r="F196" s="292" t="n">
        <x:v>3.9565</x:v>
      </x:c>
      <x:c r="G196" s="293" t="n">
        <x:v>149.6075</x:v>
      </x:c>
      <x:c r="H196" s="293" t="n">
        <x:v>1.2367</x:v>
      </x:c>
      <x:c r="I196" s="293" t="n">
        <x:f>F196*'Assumptions'!$B$7*(1+'Assumptions'!$B$9)</x:f>
        <x:v>9.4956</x:v>
      </x:c>
      <x:c r="J196" s="293" t="n">
        <x:f>F196*('Assumptions'!$B$7+'Assumptions'!$B$8)*(1+'Assumptions'!$B$9)</x:f>
        <x:v>28.4868</x:v>
      </x:c>
      <x:c r="K196" s="295" t="n">
        <x:f>MAX(0,ROUNDUP(J196-E196,0))</x:f>
        <x:v>29</x:v>
      </x:c>
      <x:c r="L196" s="297" t="n">
        <x:f>IF(F196=0,"",E196/F196)</x:f>
        <x:v>0</x:v>
      </x:c>
      <x:c r="M196" s="291" t="str">
        <x:f>IF(F196=0,IF(E196&gt;0,"No recent demand","No demand / no stock"),IF(E196&lt;=I196,"Order now",IF(L196&lt;='Assumptions'!$B$8,"Review soon","Sufficient stock")))</x:f>
        <x:v>Order now</x:v>
      </x:c>
      <x:c r="N196" s="299" t="n">
        <x:f>K196*H196</x:f>
        <x:v>35.8643</x:v>
      </x:c>
    </x:row>
    <x:row r="197" ht="16.5" customHeight="1">
      <x:c r="A197" s="278" t="str">
        <x:v>SKU0100</x:v>
      </x:c>
      <x:c r="B197" s="279" t="str">
        <x:v>Product 0100</x:v>
      </x:c>
      <x:c r="C197" s="279" t="str">
        <x:v>Store C</x:v>
      </x:c>
      <x:c r="D197" s="279" t="str">
        <x:v>Supplier 68</x:v>
      </x:c>
      <x:c r="E197" s="280" t="n">
        <x:v>0</x:v>
      </x:c>
      <x:c r="F197" s="280" t="n">
        <x:v>3.8804</x:v>
      </x:c>
      <x:c r="G197" s="281" t="n">
        <x:v>5.727</x:v>
      </x:c>
      <x:c r="H197" s="281" t="n">
        <x:v>0.0744</x:v>
      </x:c>
      <x:c r="I197" s="281" t="n">
        <x:f>F197*'Assumptions'!$B$7*(1+'Assumptions'!$B$9)</x:f>
        <x:v>9.312959999999999</x:v>
      </x:c>
      <x:c r="J197" s="281" t="n">
        <x:f>F197*('Assumptions'!$B$7+'Assumptions'!$B$8)*(1+'Assumptions'!$B$9)</x:f>
        <x:v>27.938879999999997</x:v>
      </x:c>
      <x:c r="K197" s="296" t="n">
        <x:f>MAX(0,ROUNDUP(J197-E197,0))</x:f>
        <x:v>28</x:v>
      </x:c>
      <x:c r="L197" s="298" t="n">
        <x:f>IF(F197=0,"",E197/F197)</x:f>
        <x:v>0</x:v>
      </x:c>
      <x:c r="M197" s="279" t="str">
        <x:f>IF(F197=0,IF(E197&gt;0,"No recent demand","No demand / no stock"),IF(E197&lt;=I197,"Order now",IF(L197&lt;='Assumptions'!$B$8,"Review soon","Sufficient stock")))</x:f>
        <x:v>Order now</x:v>
      </x:c>
      <x:c r="N197" s="300" t="n">
        <x:f>K197*H197</x:f>
        <x:v>2.0831999999999997</x:v>
      </x:c>
    </x:row>
    <x:row r="198" ht="16.5" customHeight="1">
      <x:c r="A198" s="290" t="str">
        <x:v>SKU0144</x:v>
      </x:c>
      <x:c r="B198" s="291" t="str">
        <x:v>Product 0144</x:v>
      </x:c>
      <x:c r="C198" s="291" t="str">
        <x:v>Store A</x:v>
      </x:c>
      <x:c r="D198" s="291" t="str">
        <x:v>Supplier 68</x:v>
      </x:c>
      <x:c r="E198" s="292" t="n">
        <x:v>45</x:v>
      </x:c>
      <x:c r="F198" s="292" t="n">
        <x:v>3.8804</x:v>
      </x:c>
      <x:c r="G198" s="293" t="n">
        <x:v>18.7663</x:v>
      </x:c>
      <x:c r="H198" s="293" t="n">
        <x:v>0.1231</x:v>
      </x:c>
      <x:c r="I198" s="293" t="n">
        <x:f>F198*'Assumptions'!$B$7*(1+'Assumptions'!$B$9)</x:f>
        <x:v>9.312959999999999</x:v>
      </x:c>
      <x:c r="J198" s="293" t="n">
        <x:f>F198*('Assumptions'!$B$7+'Assumptions'!$B$8)*(1+'Assumptions'!$B$9)</x:f>
        <x:v>27.938879999999997</x:v>
      </x:c>
      <x:c r="K198" s="295" t="n">
        <x:f>MAX(0,ROUNDUP(J198-E198,0))</x:f>
        <x:v>0</x:v>
      </x:c>
      <x:c r="L198" s="297" t="n">
        <x:f>IF(F198=0,"",E198/F198)</x:f>
        <x:v>11.596742603855272</x:v>
      </x:c>
      <x:c r="M198" s="291" t="str">
        <x:f>IF(F198=0,IF(E198&gt;0,"No recent demand","No demand / no stock"),IF(E198&lt;=I198,"Order now",IF(L198&lt;='Assumptions'!$B$8,"Review soon","Sufficient stock")))</x:f>
        <x:v>Sufficient stock</x:v>
      </x:c>
      <x:c r="N198" s="299" t="n">
        <x:f>K198*H198</x:f>
        <x:v>0</x:v>
      </x:c>
    </x:row>
    <x:row r="199" ht="16.5" customHeight="1">
      <x:c r="A199" s="278" t="str">
        <x:v>SKU0664</x:v>
      </x:c>
      <x:c r="B199" s="279" t="str">
        <x:v>Product 0664</x:v>
      </x:c>
      <x:c r="C199" s="279" t="str">
        <x:v>Store A</x:v>
      </x:c>
      <x:c r="D199" s="279" t="str">
        <x:v>Supplier 61</x:v>
      </x:c>
      <x:c r="E199" s="280" t="n">
        <x:v>0</x:v>
      </x:c>
      <x:c r="F199" s="280" t="n">
        <x:v>3.8804</x:v>
      </x:c>
      <x:c r="G199" s="281" t="n">
        <x:v>175.7774</x:v>
      </x:c>
      <x:c r="H199" s="281" t="n">
        <x:v>1.9124</x:v>
      </x:c>
      <x:c r="I199" s="281" t="n">
        <x:f>F199*'Assumptions'!$B$7*(1+'Assumptions'!$B$9)</x:f>
        <x:v>9.312959999999999</x:v>
      </x:c>
      <x:c r="J199" s="281" t="n">
        <x:f>F199*('Assumptions'!$B$7+'Assumptions'!$B$8)*(1+'Assumptions'!$B$9)</x:f>
        <x:v>27.938879999999997</x:v>
      </x:c>
      <x:c r="K199" s="296" t="n">
        <x:f>MAX(0,ROUNDUP(J199-E199,0))</x:f>
        <x:v>28</x:v>
      </x:c>
      <x:c r="L199" s="298" t="n">
        <x:f>IF(F199=0,"",E199/F199)</x:f>
        <x:v>0</x:v>
      </x:c>
      <x:c r="M199" s="279" t="str">
        <x:f>IF(F199=0,IF(E199&gt;0,"No recent demand","No demand / no stock"),IF(E199&lt;=I199,"Order now",IF(L199&lt;='Assumptions'!$B$8,"Review soon","Sufficient stock")))</x:f>
        <x:v>Order now</x:v>
      </x:c>
      <x:c r="N199" s="300" t="n">
        <x:f>K199*H199</x:f>
        <x:v>53.547200000000004</x:v>
      </x:c>
    </x:row>
    <x:row r="200" ht="16.5" customHeight="1">
      <x:c r="A200" s="290" t="str">
        <x:v>SKU1088</x:v>
      </x:c>
      <x:c r="B200" s="291" t="str">
        <x:v>Product 1088</x:v>
      </x:c>
      <x:c r="C200" s="291" t="str">
        <x:v>Store C</x:v>
      </x:c>
      <x:c r="D200" s="291" t="str">
        <x:v>Supplier 51</x:v>
      </x:c>
      <x:c r="E200" s="292" t="n">
        <x:v>1</x:v>
      </x:c>
      <x:c r="F200" s="292" t="n">
        <x:v>3.8804</x:v>
      </x:c>
      <x:c r="G200" s="293" t="n">
        <x:v>26.726</x:v>
      </x:c>
      <x:c r="H200" s="293" t="n">
        <x:v>0.3654</x:v>
      </x:c>
      <x:c r="I200" s="293" t="n">
        <x:f>F200*'Assumptions'!$B$7*(1+'Assumptions'!$B$9)</x:f>
        <x:v>9.312959999999999</x:v>
      </x:c>
      <x:c r="J200" s="293" t="n">
        <x:f>F200*('Assumptions'!$B$7+'Assumptions'!$B$8)*(1+'Assumptions'!$B$9)</x:f>
        <x:v>27.938879999999997</x:v>
      </x:c>
      <x:c r="K200" s="295" t="n">
        <x:f>MAX(0,ROUNDUP(J200-E200,0))</x:f>
        <x:v>27</x:v>
      </x:c>
      <x:c r="L200" s="297" t="n">
        <x:f>IF(F200=0,"",E200/F200)</x:f>
        <x:v>0.2577053911967839</x:v>
      </x:c>
      <x:c r="M200" s="291" t="str">
        <x:f>IF(F200=0,IF(E200&gt;0,"No recent demand","No demand / no stock"),IF(E200&lt;=I200,"Order now",IF(L200&lt;='Assumptions'!$B$8,"Review soon","Sufficient stock")))</x:f>
        <x:v>Order now</x:v>
      </x:c>
      <x:c r="N200" s="299" t="n">
        <x:f>K200*H200</x:f>
        <x:v>9.8658</x:v>
      </x:c>
    </x:row>
    <x:row r="201" ht="16.5" customHeight="1">
      <x:c r="A201" s="278" t="str">
        <x:v>SKU1615</x:v>
      </x:c>
      <x:c r="B201" s="279" t="str">
        <x:v>Product 1615</x:v>
      </x:c>
      <x:c r="C201" s="279" t="str">
        <x:v>Store C</x:v>
      </x:c>
      <x:c r="D201" s="279" t="str">
        <x:v>Supplier 07</x:v>
      </x:c>
      <x:c r="E201" s="280" t="n">
        <x:v>19</x:v>
      </x:c>
      <x:c r="F201" s="280" t="n">
        <x:v>3.8804</x:v>
      </x:c>
      <x:c r="G201" s="281" t="n">
        <x:v>71.1144</x:v>
      </x:c>
      <x:c r="H201" s="281" t="n">
        <x:v>0.664</x:v>
      </x:c>
      <x:c r="I201" s="281" t="n">
        <x:f>F201*'Assumptions'!$B$7*(1+'Assumptions'!$B$9)</x:f>
        <x:v>9.312959999999999</x:v>
      </x:c>
      <x:c r="J201" s="281" t="n">
        <x:f>F201*('Assumptions'!$B$7+'Assumptions'!$B$8)*(1+'Assumptions'!$B$9)</x:f>
        <x:v>27.938879999999997</x:v>
      </x:c>
      <x:c r="K201" s="296" t="n">
        <x:f>MAX(0,ROUNDUP(J201-E201,0))</x:f>
        <x:v>9</x:v>
      </x:c>
      <x:c r="L201" s="298" t="n">
        <x:f>IF(F201=0,"",E201/F201)</x:f>
        <x:v>4.896402432738893</x:v>
      </x:c>
      <x:c r="M201" s="279" t="str">
        <x:f>IF(F201=0,IF(E201&gt;0,"No recent demand","No demand / no stock"),IF(E201&lt;=I201,"Order now",IF(L201&lt;='Assumptions'!$B$8,"Review soon","Sufficient stock")))</x:f>
        <x:v>Sufficient stock</x:v>
      </x:c>
      <x:c r="N201" s="300" t="n">
        <x:f>K201*H201</x:f>
        <x:v>5.976</x:v>
      </x:c>
    </x:row>
    <x:row r="202" ht="16.5" customHeight="1">
      <x:c r="A202" s="290" t="str">
        <x:v>SKU1685</x:v>
      </x:c>
      <x:c r="B202" s="291" t="str">
        <x:v>Product 1685</x:v>
      </x:c>
      <x:c r="C202" s="291" t="str">
        <x:v>Store A</x:v>
      </x:c>
      <x:c r="D202" s="291" t="str">
        <x:v>Supplier 42</x:v>
      </x:c>
      <x:c r="E202" s="292" t="n">
        <x:v>0</x:v>
      </x:c>
      <x:c r="F202" s="292" t="n">
        <x:v>3.8804</x:v>
      </x:c>
      <x:c r="G202" s="293" t="n">
        <x:v>75.945</x:v>
      </x:c>
      <x:c r="H202" s="293" t="n">
        <x:v>0.996</x:v>
      </x:c>
      <x:c r="I202" s="293" t="n">
        <x:f>F202*'Assumptions'!$B$7*(1+'Assumptions'!$B$9)</x:f>
        <x:v>9.312959999999999</x:v>
      </x:c>
      <x:c r="J202" s="293" t="n">
        <x:f>F202*('Assumptions'!$B$7+'Assumptions'!$B$8)*(1+'Assumptions'!$B$9)</x:f>
        <x:v>27.938879999999997</x:v>
      </x:c>
      <x:c r="K202" s="295" t="n">
        <x:f>MAX(0,ROUNDUP(J202-E202,0))</x:f>
        <x:v>28</x:v>
      </x:c>
      <x:c r="L202" s="297" t="n">
        <x:f>IF(F202=0,"",E202/F202)</x:f>
        <x:v>0</x:v>
      </x:c>
      <x:c r="M202" s="291" t="str">
        <x:f>IF(F202=0,IF(E202&gt;0,"No recent demand","No demand / no stock"),IF(E202&lt;=I202,"Order now",IF(L202&lt;='Assumptions'!$B$8,"Review soon","Sufficient stock")))</x:f>
        <x:v>Order now</x:v>
      </x:c>
      <x:c r="N202" s="299" t="n">
        <x:f>K202*H202</x:f>
        <x:v>27.887999999999998</x:v>
      </x:c>
    </x:row>
    <x:row r="203" ht="16.5" customHeight="1">
      <x:c r="A203" s="278" t="str">
        <x:v>SKU0984</x:v>
      </x:c>
      <x:c r="B203" s="279" t="str">
        <x:v>Product 0984</x:v>
      </x:c>
      <x:c r="C203" s="279" t="str">
        <x:v>Store C</x:v>
      </x:c>
      <x:c r="D203" s="279" t="str">
        <x:v>Supplier 46</x:v>
      </x:c>
      <x:c r="E203" s="280" t="n">
        <x:v>2</x:v>
      </x:c>
      <x:c r="F203" s="280" t="n">
        <x:v>3.8043</x:v>
      </x:c>
      <x:c r="G203" s="281" t="n">
        <x:v>102.7125</x:v>
      </x:c>
      <x:c r="H203" s="281" t="n">
        <x:v>0.913</x:v>
      </x:c>
      <x:c r="I203" s="281" t="n">
        <x:f>F203*'Assumptions'!$B$7*(1+'Assumptions'!$B$9)</x:f>
        <x:v>9.13032</x:v>
      </x:c>
      <x:c r="J203" s="281" t="n">
        <x:f>F203*('Assumptions'!$B$7+'Assumptions'!$B$8)*(1+'Assumptions'!$B$9)</x:f>
        <x:v>27.39096</x:v>
      </x:c>
      <x:c r="K203" s="296" t="n">
        <x:f>MAX(0,ROUNDUP(J203-E203,0))</x:f>
        <x:v>26</x:v>
      </x:c>
      <x:c r="L203" s="298" t="n">
        <x:f>IF(F203=0,"",E203/F203)</x:f>
        <x:v>0.5257208947769629</x:v>
      </x:c>
      <x:c r="M203" s="279" t="str">
        <x:f>IF(F203=0,IF(E203&gt;0,"No recent demand","No demand / no stock"),IF(E203&lt;=I203,"Order now",IF(L203&lt;='Assumptions'!$B$8,"Review soon","Sufficient stock")))</x:f>
        <x:v>Order now</x:v>
      </x:c>
      <x:c r="N203" s="300" t="n">
        <x:f>K203*H203</x:f>
        <x:v>23.738</x:v>
      </x:c>
    </x:row>
    <x:row r="204" ht="16.5" customHeight="1">
      <x:c r="A204" s="290" t="str">
        <x:v>SKU1106</x:v>
      </x:c>
      <x:c r="B204" s="291" t="str">
        <x:v>Product 1106</x:v>
      </x:c>
      <x:c r="C204" s="291" t="str">
        <x:v>Store B</x:v>
      </x:c>
      <x:c r="D204" s="291" t="str">
        <x:v>Supplier 19</x:v>
      </x:c>
      <x:c r="E204" s="292" t="n">
        <x:v>150</x:v>
      </x:c>
      <x:c r="F204" s="292" t="n">
        <x:v>3.8043</x:v>
      </x:c>
      <x:c r="G204" s="293" t="n">
        <x:v>8.2668</x:v>
      </x:c>
      <x:c r="H204" s="293" t="n">
        <x:v>0.0415</x:v>
      </x:c>
      <x:c r="I204" s="293" t="n">
        <x:f>F204*'Assumptions'!$B$7*(1+'Assumptions'!$B$9)</x:f>
        <x:v>9.13032</x:v>
      </x:c>
      <x:c r="J204" s="293" t="n">
        <x:f>F204*('Assumptions'!$B$7+'Assumptions'!$B$8)*(1+'Assumptions'!$B$9)</x:f>
        <x:v>27.39096</x:v>
      </x:c>
      <x:c r="K204" s="295" t="n">
        <x:f>MAX(0,ROUNDUP(J204-E204,0))</x:f>
        <x:v>0</x:v>
      </x:c>
      <x:c r="L204" s="297" t="n">
        <x:f>IF(F204=0,"",E204/F204)</x:f>
        <x:v>39.42906710827222</x:v>
      </x:c>
      <x:c r="M204" s="291" t="str">
        <x:f>IF(F204=0,IF(E204&gt;0,"No recent demand","No demand / no stock"),IF(E204&lt;=I204,"Order now",IF(L204&lt;='Assumptions'!$B$8,"Review soon","Sufficient stock")))</x:f>
        <x:v>Sufficient stock</x:v>
      </x:c>
      <x:c r="N204" s="299" t="n">
        <x:f>K204*H204</x:f>
        <x:v>0</x:v>
      </x:c>
    </x:row>
    <x:row r="205" ht="16.5" customHeight="1">
      <x:c r="A205" s="278" t="str">
        <x:v>SKU1325</x:v>
      </x:c>
      <x:c r="B205" s="279" t="str">
        <x:v>Product 1325</x:v>
      </x:c>
      <x:c r="C205" s="279" t="str">
        <x:v>Store B</x:v>
      </x:c>
      <x:c r="D205" s="279" t="str">
        <x:v>Supplier 03</x:v>
      </x:c>
      <x:c r="E205" s="280" t="n">
        <x:v>0</x:v>
      </x:c>
      <x:c r="F205" s="280" t="n">
        <x:v>3.8043</x:v>
      </x:c>
      <x:c r="G205" s="281" t="n">
        <x:v>69.5623</x:v>
      </x:c>
      <x:c r="H205" s="281" t="n">
        <x:v>0</x:v>
      </x:c>
      <x:c r="I205" s="281" t="n">
        <x:f>F205*'Assumptions'!$B$7*(1+'Assumptions'!$B$9)</x:f>
        <x:v>9.13032</x:v>
      </x:c>
      <x:c r="J205" s="281" t="n">
        <x:f>F205*('Assumptions'!$B$7+'Assumptions'!$B$8)*(1+'Assumptions'!$B$9)</x:f>
        <x:v>27.39096</x:v>
      </x:c>
      <x:c r="K205" s="296" t="n">
        <x:f>MAX(0,ROUNDUP(J205-E205,0))</x:f>
        <x:v>28</x:v>
      </x:c>
      <x:c r="L205" s="298" t="n">
        <x:f>IF(F205=0,"",E205/F205)</x:f>
        <x:v>0</x:v>
      </x:c>
      <x:c r="M205" s="279" t="str">
        <x:f>IF(F205=0,IF(E205&gt;0,"No recent demand","No demand / no stock"),IF(E205&lt;=I205,"Order now",IF(L205&lt;='Assumptions'!$B$8,"Review soon","Sufficient stock")))</x:f>
        <x:v>Order now</x:v>
      </x:c>
      <x:c r="N205" s="300" t="n">
        <x:f>K205*H205</x:f>
        <x:v>0</x:v>
      </x:c>
    </x:row>
    <x:row r="206" ht="16.5" customHeight="1">
      <x:c r="A206" s="290" t="str">
        <x:v>SKU1325</x:v>
      </x:c>
      <x:c r="B206" s="291" t="str">
        <x:v>Product 1325</x:v>
      </x:c>
      <x:c r="C206" s="291" t="str">
        <x:v>Store C</x:v>
      </x:c>
      <x:c r="D206" s="291" t="str">
        <x:v>Supplier 03</x:v>
      </x:c>
      <x:c r="E206" s="292" t="n">
        <x:v>0</x:v>
      </x:c>
      <x:c r="F206" s="292" t="n">
        <x:v>3.8043</x:v>
      </x:c>
      <x:c r="G206" s="293" t="n">
        <x:v>69.4212</x:v>
      </x:c>
      <x:c r="H206" s="293" t="n">
        <x:v>0</x:v>
      </x:c>
      <x:c r="I206" s="293" t="n">
        <x:f>F206*'Assumptions'!$B$7*(1+'Assumptions'!$B$9)</x:f>
        <x:v>9.13032</x:v>
      </x:c>
      <x:c r="J206" s="293" t="n">
        <x:f>F206*('Assumptions'!$B$7+'Assumptions'!$B$8)*(1+'Assumptions'!$B$9)</x:f>
        <x:v>27.39096</x:v>
      </x:c>
      <x:c r="K206" s="295" t="n">
        <x:f>MAX(0,ROUNDUP(J206-E206,0))</x:f>
        <x:v>28</x:v>
      </x:c>
      <x:c r="L206" s="297" t="n">
        <x:f>IF(F206=0,"",E206/F206)</x:f>
        <x:v>0</x:v>
      </x:c>
      <x:c r="M206" s="291" t="str">
        <x:f>IF(F206=0,IF(E206&gt;0,"No recent demand","No demand / no stock"),IF(E206&lt;=I206,"Order now",IF(L206&lt;='Assumptions'!$B$8,"Review soon","Sufficient stock")))</x:f>
        <x:v>Order now</x:v>
      </x:c>
      <x:c r="N206" s="299" t="n">
        <x:f>K206*H206</x:f>
        <x:v>0</x:v>
      </x:c>
    </x:row>
    <x:row r="207" ht="16.5" customHeight="1">
      <x:c r="A207" s="278" t="str">
        <x:v>SKU1326</x:v>
      </x:c>
      <x:c r="B207" s="279" t="str">
        <x:v>Product 1326</x:v>
      </x:c>
      <x:c r="C207" s="279" t="str">
        <x:v>Store C</x:v>
      </x:c>
      <x:c r="D207" s="279" t="str">
        <x:v>Supplier 03</x:v>
      </x:c>
      <x:c r="E207" s="280" t="n">
        <x:v>0</x:v>
      </x:c>
      <x:c r="F207" s="280" t="n">
        <x:v>3.8043</x:v>
      </x:c>
      <x:c r="G207" s="281" t="n">
        <x:v>70.1267</x:v>
      </x:c>
      <x:c r="H207" s="281" t="n">
        <x:v>0</x:v>
      </x:c>
      <x:c r="I207" s="281" t="n">
        <x:f>F207*'Assumptions'!$B$7*(1+'Assumptions'!$B$9)</x:f>
        <x:v>9.13032</x:v>
      </x:c>
      <x:c r="J207" s="281" t="n">
        <x:f>F207*('Assumptions'!$B$7+'Assumptions'!$B$8)*(1+'Assumptions'!$B$9)</x:f>
        <x:v>27.39096</x:v>
      </x:c>
      <x:c r="K207" s="296" t="n">
        <x:f>MAX(0,ROUNDUP(J207-E207,0))</x:f>
        <x:v>28</x:v>
      </x:c>
      <x:c r="L207" s="298" t="n">
        <x:f>IF(F207=0,"",E207/F207)</x:f>
        <x:v>0</x:v>
      </x:c>
      <x:c r="M207" s="279" t="str">
        <x:f>IF(F207=0,IF(E207&gt;0,"No recent demand","No demand / no stock"),IF(E207&lt;=I207,"Order now",IF(L207&lt;='Assumptions'!$B$8,"Review soon","Sufficient stock")))</x:f>
        <x:v>Order now</x:v>
      </x:c>
      <x:c r="N207" s="300" t="n">
        <x:f>K207*H207</x:f>
        <x:v>0</x:v>
      </x:c>
    </x:row>
    <x:row r="208" ht="16.5" customHeight="1">
      <x:c r="A208" s="290" t="str">
        <x:v>SKU1615</x:v>
      </x:c>
      <x:c r="B208" s="291" t="str">
        <x:v>Product 1615</x:v>
      </x:c>
      <x:c r="C208" s="291" t="str">
        <x:v>Store A</x:v>
      </x:c>
      <x:c r="D208" s="291" t="str">
        <x:v>Supplier 07</x:v>
      </x:c>
      <x:c r="E208" s="292" t="n">
        <x:v>13</x:v>
      </x:c>
      <x:c r="F208" s="292" t="n">
        <x:v>3.8043</x:v>
      </x:c>
      <x:c r="G208" s="293" t="n">
        <x:v>69.7034</x:v>
      </x:c>
      <x:c r="H208" s="293" t="n">
        <x:v>0.664</x:v>
      </x:c>
      <x:c r="I208" s="293" t="n">
        <x:f>F208*'Assumptions'!$B$7*(1+'Assumptions'!$B$9)</x:f>
        <x:v>9.13032</x:v>
      </x:c>
      <x:c r="J208" s="293" t="n">
        <x:f>F208*('Assumptions'!$B$7+'Assumptions'!$B$8)*(1+'Assumptions'!$B$9)</x:f>
        <x:v>27.39096</x:v>
      </x:c>
      <x:c r="K208" s="295" t="n">
        <x:f>MAX(0,ROUNDUP(J208-E208,0))</x:f>
        <x:v>15</x:v>
      </x:c>
      <x:c r="L208" s="297" t="n">
        <x:f>IF(F208=0,"",E208/F208)</x:f>
        <x:v>3.417185816050259</x:v>
      </x:c>
      <x:c r="M208" s="291" t="str">
        <x:f>IF(F208=0,IF(E208&gt;0,"No recent demand","No demand / no stock"),IF(E208&lt;=I208,"Order now",IF(L208&lt;='Assumptions'!$B$8,"Review soon","Sufficient stock")))</x:f>
        <x:v>Review soon</x:v>
      </x:c>
      <x:c r="N208" s="299" t="n">
        <x:f>K208*H208</x:f>
        <x:v>9.96</x:v>
      </x:c>
    </x:row>
    <x:row r="209" ht="16.5" customHeight="1">
      <x:c r="A209" s="278" t="str">
        <x:v>SKU1663</x:v>
      </x:c>
      <x:c r="B209" s="279" t="str">
        <x:v>Product 1663</x:v>
      </x:c>
      <x:c r="C209" s="279" t="str">
        <x:v>Store C</x:v>
      </x:c>
      <x:c r="D209" s="279" t="str">
        <x:v>Supplier 29</x:v>
      </x:c>
      <x:c r="E209" s="280" t="n">
        <x:v>0</x:v>
      </x:c>
      <x:c r="F209" s="280" t="n">
        <x:v>3.8043</x:v>
      </x:c>
      <x:c r="G209" s="281" t="n">
        <x:v>48.97</x:v>
      </x:c>
      <x:c r="H209" s="281" t="n">
        <x:v>1.0259</x:v>
      </x:c>
      <x:c r="I209" s="281" t="n">
        <x:f>F209*'Assumptions'!$B$7*(1+'Assumptions'!$B$9)</x:f>
        <x:v>9.13032</x:v>
      </x:c>
      <x:c r="J209" s="281" t="n">
        <x:f>F209*('Assumptions'!$B$7+'Assumptions'!$B$8)*(1+'Assumptions'!$B$9)</x:f>
        <x:v>27.39096</x:v>
      </x:c>
      <x:c r="K209" s="296" t="n">
        <x:f>MAX(0,ROUNDUP(J209-E209,0))</x:f>
        <x:v>28</x:v>
      </x:c>
      <x:c r="L209" s="298" t="n">
        <x:f>IF(F209=0,"",E209/F209)</x:f>
        <x:v>0</x:v>
      </x:c>
      <x:c r="M209" s="279" t="str">
        <x:f>IF(F209=0,IF(E209&gt;0,"No recent demand","No demand / no stock"),IF(E209&lt;=I209,"Order now",IF(L209&lt;='Assumptions'!$B$8,"Review soon","Sufficient stock")))</x:f>
        <x:v>Order now</x:v>
      </x:c>
      <x:c r="N209" s="300" t="n">
        <x:f>K209*H209</x:f>
        <x:v>28.7252</x:v>
      </x:c>
    </x:row>
    <x:row r="210" ht="16.5" customHeight="1">
      <x:c r="A210" s="290" t="str">
        <x:v>SKU1788</x:v>
      </x:c>
      <x:c r="B210" s="291" t="str">
        <x:v>Product 1788</x:v>
      </x:c>
      <x:c r="C210" s="291" t="str">
        <x:v>Store B</x:v>
      </x:c>
      <x:c r="D210" s="291" t="str">
        <x:v>Supplier 42</x:v>
      </x:c>
      <x:c r="E210" s="292" t="n">
        <x:v>20</x:v>
      </x:c>
      <x:c r="F210" s="292" t="n">
        <x:v>3.8043</x:v>
      </x:c>
      <x:c r="G210" s="293" t="n">
        <x:v>66.1925</x:v>
      </x:c>
      <x:c r="H210" s="293" t="n">
        <x:v>1.328</x:v>
      </x:c>
      <x:c r="I210" s="293" t="n">
        <x:f>F210*'Assumptions'!$B$7*(1+'Assumptions'!$B$9)</x:f>
        <x:v>9.13032</x:v>
      </x:c>
      <x:c r="J210" s="293" t="n">
        <x:f>F210*('Assumptions'!$B$7+'Assumptions'!$B$8)*(1+'Assumptions'!$B$9)</x:f>
        <x:v>27.39096</x:v>
      </x:c>
      <x:c r="K210" s="295" t="n">
        <x:f>MAX(0,ROUNDUP(J210-E210,0))</x:f>
        <x:v>8</x:v>
      </x:c>
      <x:c r="L210" s="297" t="n">
        <x:f>IF(F210=0,"",E210/F210)</x:f>
        <x:v>5.257208947769629</x:v>
      </x:c>
      <x:c r="M210" s="291" t="str">
        <x:f>IF(F210=0,IF(E210&gt;0,"No recent demand","No demand / no stock"),IF(E210&lt;=I210,"Order now",IF(L210&lt;='Assumptions'!$B$8,"Review soon","Sufficient stock")))</x:f>
        <x:v>Sufficient stock</x:v>
      </x:c>
      <x:c r="N210" s="299" t="n">
        <x:f>K210*H210</x:f>
        <x:v>10.624</x:v>
      </x:c>
    </x:row>
    <x:row r="211" ht="16.5" customHeight="1">
      <x:c r="A211" s="278" t="str">
        <x:v>SKU0081</x:v>
      </x:c>
      <x:c r="B211" s="279" t="str">
        <x:v>Product 0081</x:v>
      </x:c>
      <x:c r="C211" s="279" t="str">
        <x:v>Store A</x:v>
      </x:c>
      <x:c r="D211" s="279" t="str">
        <x:v>Supplier 66</x:v>
      </x:c>
      <x:c r="E211" s="280" t="n">
        <x:v>0</x:v>
      </x:c>
      <x:c r="F211" s="280" t="n">
        <x:v>3.7283</x:v>
      </x:c>
      <x:c r="G211" s="281" t="n">
        <x:v>26.145</x:v>
      </x:c>
      <x:c r="H211" s="281" t="n">
        <x:v>0.6226</x:v>
      </x:c>
      <x:c r="I211" s="281" t="n">
        <x:f>F211*'Assumptions'!$B$7*(1+'Assumptions'!$B$9)</x:f>
        <x:v>8.94792</x:v>
      </x:c>
      <x:c r="J211" s="281" t="n">
        <x:f>F211*('Assumptions'!$B$7+'Assumptions'!$B$8)*(1+'Assumptions'!$B$9)</x:f>
        <x:v>26.843759999999996</x:v>
      </x:c>
      <x:c r="K211" s="296" t="n">
        <x:f>MAX(0,ROUNDUP(J211-E211,0))</x:f>
        <x:v>27</x:v>
      </x:c>
      <x:c r="L211" s="298" t="n">
        <x:f>IF(F211=0,"",E211/F211)</x:f>
        <x:v>0</x:v>
      </x:c>
      <x:c r="M211" s="279" t="str">
        <x:f>IF(F211=0,IF(E211&gt;0,"No recent demand","No demand / no stock"),IF(E211&lt;=I211,"Order now",IF(L211&lt;='Assumptions'!$B$8,"Review soon","Sufficient stock")))</x:f>
        <x:v>Order now</x:v>
      </x:c>
      <x:c r="N211" s="300" t="n">
        <x:f>K211*H211</x:f>
        <x:v>16.810200000000002</x:v>
      </x:c>
    </x:row>
    <x:row r="212" ht="16.5" customHeight="1">
      <x:c r="A212" s="290" t="str">
        <x:v>SKU0119</x:v>
      </x:c>
      <x:c r="B212" s="291" t="str">
        <x:v>Product 0119</x:v>
      </x:c>
      <x:c r="C212" s="291" t="str">
        <x:v>Store C</x:v>
      </x:c>
      <x:c r="D212" s="291" t="str">
        <x:v>Supplier 05</x:v>
      </x:c>
      <x:c r="E212" s="292" t="n">
        <x:v>12</x:v>
      </x:c>
      <x:c r="F212" s="292" t="n">
        <x:v>3.7283</x:v>
      </x:c>
      <x:c r="G212" s="293" t="n">
        <x:v>73.206</x:v>
      </x:c>
      <x:c r="H212" s="293" t="n">
        <x:v>0.4897</x:v>
      </x:c>
      <x:c r="I212" s="293" t="n">
        <x:f>F212*'Assumptions'!$B$7*(1+'Assumptions'!$B$9)</x:f>
        <x:v>8.94792</x:v>
      </x:c>
      <x:c r="J212" s="293" t="n">
        <x:f>F212*('Assumptions'!$B$7+'Assumptions'!$B$8)*(1+'Assumptions'!$B$9)</x:f>
        <x:v>26.843759999999996</x:v>
      </x:c>
      <x:c r="K212" s="295" t="n">
        <x:f>MAX(0,ROUNDUP(J212-E212,0))</x:f>
        <x:v>15</x:v>
      </x:c>
      <x:c r="L212" s="297" t="n">
        <x:f>IF(F212=0,"",E212/F212)</x:f>
        <x:v>3.218625110640238</x:v>
      </x:c>
      <x:c r="M212" s="291" t="str">
        <x:f>IF(F212=0,IF(E212&gt;0,"No recent demand","No demand / no stock"),IF(E212&lt;=I212,"Order now",IF(L212&lt;='Assumptions'!$B$8,"Review soon","Sufficient stock")))</x:f>
        <x:v>Review soon</x:v>
      </x:c>
      <x:c r="N212" s="299" t="n">
        <x:f>K212*H212</x:f>
        <x:v>7.3455</x:v>
      </x:c>
    </x:row>
    <x:row r="213" ht="16.5" customHeight="1">
      <x:c r="A213" s="278" t="str">
        <x:v>SKU0582</x:v>
      </x:c>
      <x:c r="B213" s="279" t="str">
        <x:v>Product 0582</x:v>
      </x:c>
      <x:c r="C213" s="279" t="str">
        <x:v>Store C</x:v>
      </x:c>
      <x:c r="D213" s="279" t="str">
        <x:v>Supplier 64</x:v>
      </x:c>
      <x:c r="E213" s="280" t="n">
        <x:v>7</x:v>
      </x:c>
      <x:c r="F213" s="280" t="n">
        <x:v>3.7283</x:v>
      </x:c>
      <x:c r="G213" s="281" t="n">
        <x:v>17.596</x:v>
      </x:c>
      <x:c r="H213" s="281" t="n">
        <x:v>0.0913</x:v>
      </x:c>
      <x:c r="I213" s="281" t="n">
        <x:f>F213*'Assumptions'!$B$7*(1+'Assumptions'!$B$9)</x:f>
        <x:v>8.94792</x:v>
      </x:c>
      <x:c r="J213" s="281" t="n">
        <x:f>F213*('Assumptions'!$B$7+'Assumptions'!$B$8)*(1+'Assumptions'!$B$9)</x:f>
        <x:v>26.843759999999996</x:v>
      </x:c>
      <x:c r="K213" s="296" t="n">
        <x:f>MAX(0,ROUNDUP(J213-E213,0))</x:f>
        <x:v>20</x:v>
      </x:c>
      <x:c r="L213" s="298" t="n">
        <x:f>IF(F213=0,"",E213/F213)</x:f>
        <x:v>1.8775313145401389</x:v>
      </x:c>
      <x:c r="M213" s="279" t="str">
        <x:f>IF(F213=0,IF(E213&gt;0,"No recent demand","No demand / no stock"),IF(E213&lt;=I213,"Order now",IF(L213&lt;='Assumptions'!$B$8,"Review soon","Sufficient stock")))</x:f>
        <x:v>Order now</x:v>
      </x:c>
      <x:c r="N213" s="300" t="n">
        <x:f>K213*H213</x:f>
        <x:v>1.826</x:v>
      </x:c>
    </x:row>
    <x:row r="214" ht="16.5" customHeight="1">
      <x:c r="A214" s="290" t="str">
        <x:v>SKU0652</x:v>
      </x:c>
      <x:c r="B214" s="291" t="str">
        <x:v>Product 0652</x:v>
      </x:c>
      <x:c r="C214" s="291" t="str">
        <x:v>Store A</x:v>
      </x:c>
      <x:c r="D214" s="291" t="str">
        <x:v>Supplier 02</x:v>
      </x:c>
      <x:c r="E214" s="292" t="n">
        <x:v>10</x:v>
      </x:c>
      <x:c r="F214" s="292" t="n">
        <x:v>3.7283</x:v>
      </x:c>
      <x:c r="G214" s="293" t="n">
        <x:v>59.8845</x:v>
      </x:c>
      <x:c r="H214" s="293" t="n">
        <x:v>0.4084</x:v>
      </x:c>
      <x:c r="I214" s="293" t="n">
        <x:f>F214*'Assumptions'!$B$7*(1+'Assumptions'!$B$9)</x:f>
        <x:v>8.94792</x:v>
      </x:c>
      <x:c r="J214" s="293" t="n">
        <x:f>F214*('Assumptions'!$B$7+'Assumptions'!$B$8)*(1+'Assumptions'!$B$9)</x:f>
        <x:v>26.843759999999996</x:v>
      </x:c>
      <x:c r="K214" s="295" t="n">
        <x:f>MAX(0,ROUNDUP(J214-E214,0))</x:f>
        <x:v>17</x:v>
      </x:c>
      <x:c r="L214" s="297" t="n">
        <x:f>IF(F214=0,"",E214/F214)</x:f>
        <x:v>2.6821875922001985</x:v>
      </x:c>
      <x:c r="M214" s="291" t="str">
        <x:f>IF(F214=0,IF(E214&gt;0,"No recent demand","No demand / no stock"),IF(E214&lt;=I214,"Order now",IF(L214&lt;='Assumptions'!$B$8,"Review soon","Sufficient stock")))</x:f>
        <x:v>Review soon</x:v>
      </x:c>
      <x:c r="N214" s="299" t="n">
        <x:f>K214*H214</x:f>
        <x:v>6.9428</x:v>
      </x:c>
    </x:row>
    <x:row r="215" ht="16.5" customHeight="1">
      <x:c r="A215" s="278" t="str">
        <x:v>SKU0863</x:v>
      </x:c>
      <x:c r="B215" s="279" t="str">
        <x:v>Product 0863</x:v>
      </x:c>
      <x:c r="C215" s="279" t="str">
        <x:v>Store B</x:v>
      </x:c>
      <x:c r="D215" s="279" t="str">
        <x:v>Supplier 69</x:v>
      </x:c>
      <x:c r="E215" s="280" t="n">
        <x:v>0</x:v>
      </x:c>
      <x:c r="F215" s="280" t="n">
        <x:v>3.7283</x:v>
      </x:c>
      <x:c r="G215" s="281" t="n">
        <x:v>28.7595</x:v>
      </x:c>
      <x:c r="H215" s="281" t="n">
        <x:v>0</x:v>
      </x:c>
      <x:c r="I215" s="281" t="n">
        <x:f>F215*'Assumptions'!$B$7*(1+'Assumptions'!$B$9)</x:f>
        <x:v>8.94792</x:v>
      </x:c>
      <x:c r="J215" s="281" t="n">
        <x:f>F215*('Assumptions'!$B$7+'Assumptions'!$B$8)*(1+'Assumptions'!$B$9)</x:f>
        <x:v>26.843759999999996</x:v>
      </x:c>
      <x:c r="K215" s="296" t="n">
        <x:f>MAX(0,ROUNDUP(J215-E215,0))</x:f>
        <x:v>27</x:v>
      </x:c>
      <x:c r="L215" s="298" t="n">
        <x:f>IF(F215=0,"",E215/F215)</x:f>
        <x:v>0</x:v>
      </x:c>
      <x:c r="M215" s="279" t="str">
        <x:f>IF(F215=0,IF(E215&gt;0,"No recent demand","No demand / no stock"),IF(E215&lt;=I215,"Order now",IF(L215&lt;='Assumptions'!$B$8,"Review soon","Sufficient stock")))</x:f>
        <x:v>Order now</x:v>
      </x:c>
      <x:c r="N215" s="300" t="n">
        <x:f>K215*H215</x:f>
        <x:v>0</x:v>
      </x:c>
    </x:row>
    <x:row r="216" ht="16.5" customHeight="1">
      <x:c r="A216" s="290" t="str">
        <x:v>SKU0874</x:v>
      </x:c>
      <x:c r="B216" s="291" t="str">
        <x:v>Product 0874</x:v>
      </x:c>
      <x:c r="C216" s="291" t="str">
        <x:v>Store A</x:v>
      </x:c>
      <x:c r="D216" s="291" t="str">
        <x:v>Supplier 19</x:v>
      </x:c>
      <x:c r="E216" s="292" t="n">
        <x:v>1</x:v>
      </x:c>
      <x:c r="F216" s="292" t="n">
        <x:v>3.7283</x:v>
      </x:c>
      <x:c r="G216" s="293" t="n">
        <x:v>15.438</x:v>
      </x:c>
      <x:c r="H216" s="293" t="n">
        <x:v>0.1245</x:v>
      </x:c>
      <x:c r="I216" s="293" t="n">
        <x:f>F216*'Assumptions'!$B$7*(1+'Assumptions'!$B$9)</x:f>
        <x:v>8.94792</x:v>
      </x:c>
      <x:c r="J216" s="293" t="n">
        <x:f>F216*('Assumptions'!$B$7+'Assumptions'!$B$8)*(1+'Assumptions'!$B$9)</x:f>
        <x:v>26.843759999999996</x:v>
      </x:c>
      <x:c r="K216" s="295" t="n">
        <x:f>MAX(0,ROUNDUP(J216-E216,0))</x:f>
        <x:v>26</x:v>
      </x:c>
      <x:c r="L216" s="297" t="n">
        <x:f>IF(F216=0,"",E216/F216)</x:f>
        <x:v>0.26821875922001986</x:v>
      </x:c>
      <x:c r="M216" s="291" t="str">
        <x:f>IF(F216=0,IF(E216&gt;0,"No recent demand","No demand / no stock"),IF(E216&lt;=I216,"Order now",IF(L216&lt;='Assumptions'!$B$8,"Review soon","Sufficient stock")))</x:f>
        <x:v>Order now</x:v>
      </x:c>
      <x:c r="N216" s="299" t="n">
        <x:f>K216*H216</x:f>
        <x:v>3.237</x:v>
      </x:c>
    </x:row>
    <x:row r="217" ht="16.5" customHeight="1">
      <x:c r="A217" s="278" t="str">
        <x:v>SKU1324</x:v>
      </x:c>
      <x:c r="B217" s="279" t="str">
        <x:v>Product 1324</x:v>
      </x:c>
      <x:c r="C217" s="279" t="str">
        <x:v>Store B</x:v>
      </x:c>
      <x:c r="D217" s="279" t="str">
        <x:v>Supplier 03</x:v>
      </x:c>
      <x:c r="E217" s="280" t="n">
        <x:v>0</x:v>
      </x:c>
      <x:c r="F217" s="280" t="n">
        <x:v>3.7283</x:v>
      </x:c>
      <x:c r="G217" s="281" t="n">
        <x:v>68.5746</x:v>
      </x:c>
      <x:c r="H217" s="281" t="n">
        <x:v>0</x:v>
      </x:c>
      <x:c r="I217" s="281" t="n">
        <x:f>F217*'Assumptions'!$B$7*(1+'Assumptions'!$B$9)</x:f>
        <x:v>8.94792</x:v>
      </x:c>
      <x:c r="J217" s="281" t="n">
        <x:f>F217*('Assumptions'!$B$7+'Assumptions'!$B$8)*(1+'Assumptions'!$B$9)</x:f>
        <x:v>26.843759999999996</x:v>
      </x:c>
      <x:c r="K217" s="296" t="n">
        <x:f>MAX(0,ROUNDUP(J217-E217,0))</x:f>
        <x:v>27</x:v>
      </x:c>
      <x:c r="L217" s="298" t="n">
        <x:f>IF(F217=0,"",E217/F217)</x:f>
        <x:v>0</x:v>
      </x:c>
      <x:c r="M217" s="279" t="str">
        <x:f>IF(F217=0,IF(E217&gt;0,"No recent demand","No demand / no stock"),IF(E217&lt;=I217,"Order now",IF(L217&lt;='Assumptions'!$B$8,"Review soon","Sufficient stock")))</x:f>
        <x:v>Order now</x:v>
      </x:c>
      <x:c r="N217" s="300" t="n">
        <x:f>K217*H217</x:f>
        <x:v>0</x:v>
      </x:c>
    </x:row>
    <x:row r="218" ht="16.5" customHeight="1">
      <x:c r="A218" s="290" t="str">
        <x:v>SKU1326</x:v>
      </x:c>
      <x:c r="B218" s="291" t="str">
        <x:v>Product 1326</x:v>
      </x:c>
      <x:c r="C218" s="291" t="str">
        <x:v>Store B</x:v>
      </x:c>
      <x:c r="D218" s="291" t="str">
        <x:v>Supplier 03</x:v>
      </x:c>
      <x:c r="E218" s="292" t="n">
        <x:v>0</x:v>
      </x:c>
      <x:c r="F218" s="292" t="n">
        <x:v>3.7283</x:v>
      </x:c>
      <x:c r="G218" s="293" t="n">
        <x:v>68.0102</x:v>
      </x:c>
      <x:c r="H218" s="293" t="n">
        <x:v>0.6225</x:v>
      </x:c>
      <x:c r="I218" s="293" t="n">
        <x:f>F218*'Assumptions'!$B$7*(1+'Assumptions'!$B$9)</x:f>
        <x:v>8.94792</x:v>
      </x:c>
      <x:c r="J218" s="293" t="n">
        <x:f>F218*('Assumptions'!$B$7+'Assumptions'!$B$8)*(1+'Assumptions'!$B$9)</x:f>
        <x:v>26.843759999999996</x:v>
      </x:c>
      <x:c r="K218" s="295" t="n">
        <x:f>MAX(0,ROUNDUP(J218-E218,0))</x:f>
        <x:v>27</x:v>
      </x:c>
      <x:c r="L218" s="297" t="n">
        <x:f>IF(F218=0,"",E218/F218)</x:f>
        <x:v>0</x:v>
      </x:c>
      <x:c r="M218" s="291" t="str">
        <x:f>IF(F218=0,IF(E218&gt;0,"No recent demand","No demand / no stock"),IF(E218&lt;=I218,"Order now",IF(L218&lt;='Assumptions'!$B$8,"Review soon","Sufficient stock")))</x:f>
        <x:v>Order now</x:v>
      </x:c>
      <x:c r="N218" s="299" t="n">
        <x:f>K218*H218</x:f>
        <x:v>16.8075</x:v>
      </x:c>
    </x:row>
    <x:row r="219" ht="16.5" customHeight="1">
      <x:c r="A219" s="278" t="str">
        <x:v>SKU1513</x:v>
      </x:c>
      <x:c r="B219" s="279" t="str">
        <x:v>Product 1513</x:v>
      </x:c>
      <x:c r="C219" s="279" t="str">
        <x:v>Store B</x:v>
      </x:c>
      <x:c r="D219" s="279" t="str">
        <x:v>Supplier 24</x:v>
      </x:c>
      <x:c r="E219" s="280" t="n">
        <x:v>6</x:v>
      </x:c>
      <x:c r="F219" s="280" t="n">
        <x:v>3.7283</x:v>
      </x:c>
      <x:c r="G219" s="281" t="n">
        <x:v>38.5867</x:v>
      </x:c>
      <x:c r="H219" s="281" t="n">
        <x:v>0.3818</x:v>
      </x:c>
      <x:c r="I219" s="281" t="n">
        <x:f>F219*'Assumptions'!$B$7*(1+'Assumptions'!$B$9)</x:f>
        <x:v>8.94792</x:v>
      </x:c>
      <x:c r="J219" s="281" t="n">
        <x:f>F219*('Assumptions'!$B$7+'Assumptions'!$B$8)*(1+'Assumptions'!$B$9)</x:f>
        <x:v>26.843759999999996</x:v>
      </x:c>
      <x:c r="K219" s="296" t="n">
        <x:f>MAX(0,ROUNDUP(J219-E219,0))</x:f>
        <x:v>21</x:v>
      </x:c>
      <x:c r="L219" s="298" t="n">
        <x:f>IF(F219=0,"",E219/F219)</x:f>
        <x:v>1.609312555320119</x:v>
      </x:c>
      <x:c r="M219" s="279" t="str">
        <x:f>IF(F219=0,IF(E219&gt;0,"No recent demand","No demand / no stock"),IF(E219&lt;=I219,"Order now",IF(L219&lt;='Assumptions'!$B$8,"Review soon","Sufficient stock")))</x:f>
        <x:v>Order now</x:v>
      </x:c>
      <x:c r="N219" s="300" t="n">
        <x:f>K219*H219</x:f>
        <x:v>8.0178</x:v>
      </x:c>
    </x:row>
    <x:row r="220" ht="16.5" customHeight="1">
      <x:c r="A220" s="290" t="str">
        <x:v>SKU1613</x:v>
      </x:c>
      <x:c r="B220" s="291" t="str">
        <x:v>Product 1613</x:v>
      </x:c>
      <x:c r="C220" s="291" t="str">
        <x:v>Store C</x:v>
      </x:c>
      <x:c r="D220" s="291" t="str">
        <x:v>Supplier 07</x:v>
      </x:c>
      <x:c r="E220" s="292" t="n">
        <x:v>0</x:v>
      </x:c>
      <x:c r="F220" s="292" t="n">
        <x:v>3.7283</x:v>
      </x:c>
      <x:c r="G220" s="293" t="n">
        <x:v>47.2934</x:v>
      </x:c>
      <x:c r="H220" s="293" t="n">
        <x:v>0.6691</x:v>
      </x:c>
      <x:c r="I220" s="293" t="n">
        <x:f>F220*'Assumptions'!$B$7*(1+'Assumptions'!$B$9)</x:f>
        <x:v>8.94792</x:v>
      </x:c>
      <x:c r="J220" s="293" t="n">
        <x:f>F220*('Assumptions'!$B$7+'Assumptions'!$B$8)*(1+'Assumptions'!$B$9)</x:f>
        <x:v>26.843759999999996</x:v>
      </x:c>
      <x:c r="K220" s="295" t="n">
        <x:f>MAX(0,ROUNDUP(J220-E220,0))</x:f>
        <x:v>27</x:v>
      </x:c>
      <x:c r="L220" s="297" t="n">
        <x:f>IF(F220=0,"",E220/F220)</x:f>
        <x:v>0</x:v>
      </x:c>
      <x:c r="M220" s="291" t="str">
        <x:f>IF(F220=0,IF(E220&gt;0,"No recent demand","No demand / no stock"),IF(E220&lt;=I220,"Order now",IF(L220&lt;='Assumptions'!$B$8,"Review soon","Sufficient stock")))</x:f>
        <x:v>Order now</x:v>
      </x:c>
      <x:c r="N220" s="299" t="n">
        <x:f>K220*H220</x:f>
        <x:v>18.0657</x:v>
      </x:c>
    </x:row>
    <x:row r="221" ht="16.5" customHeight="1">
      <x:c r="A221" s="278" t="str">
        <x:v>SKU1686</x:v>
      </x:c>
      <x:c r="B221" s="279" t="str">
        <x:v>Product 1686</x:v>
      </x:c>
      <x:c r="C221" s="279" t="str">
        <x:v>Store A</x:v>
      </x:c>
      <x:c r="D221" s="279" t="str">
        <x:v>Supplier 42</x:v>
      </x:c>
      <x:c r="E221" s="280" t="n">
        <x:v>40</x:v>
      </x:c>
      <x:c r="F221" s="280" t="n">
        <x:v>3.7283</x:v>
      </x:c>
      <x:c r="G221" s="281" t="n">
        <x:v>56.938</x:v>
      </x:c>
      <x:c r="H221" s="281" t="n">
        <x:v>0.4897</x:v>
      </x:c>
      <x:c r="I221" s="281" t="n">
        <x:f>F221*'Assumptions'!$B$7*(1+'Assumptions'!$B$9)</x:f>
        <x:v>8.94792</x:v>
      </x:c>
      <x:c r="J221" s="281" t="n">
        <x:f>F221*('Assumptions'!$B$7+'Assumptions'!$B$8)*(1+'Assumptions'!$B$9)</x:f>
        <x:v>26.843759999999996</x:v>
      </x:c>
      <x:c r="K221" s="296" t="n">
        <x:f>MAX(0,ROUNDUP(J221-E221,0))</x:f>
        <x:v>0</x:v>
      </x:c>
      <x:c r="L221" s="298" t="n">
        <x:f>IF(F221=0,"",E221/F221)</x:f>
        <x:v>10.728750368800794</x:v>
      </x:c>
      <x:c r="M221" s="279" t="str">
        <x:f>IF(F221=0,IF(E221&gt;0,"No recent demand","No demand / no stock"),IF(E221&lt;=I221,"Order now",IF(L221&lt;='Assumptions'!$B$8,"Review soon","Sufficient stock")))</x:f>
        <x:v>Sufficient stock</x:v>
      </x:c>
      <x:c r="N221" s="300" t="n">
        <x:f>K221*H221</x:f>
        <x:v>0</x:v>
      </x:c>
    </x:row>
    <x:row r="222" ht="16.5" customHeight="1">
      <x:c r="A222" s="290" t="str">
        <x:v>SKU0153</x:v>
      </x:c>
      <x:c r="B222" s="291" t="str">
        <x:v>Product 0153</x:v>
      </x:c>
      <x:c r="C222" s="291" t="str">
        <x:v>Store B</x:v>
      </x:c>
      <x:c r="D222" s="291" t="str">
        <x:v>Multiple suppliers</x:v>
      </x:c>
      <x:c r="E222" s="292" t="n">
        <x:v>0</x:v>
      </x:c>
      <x:c r="F222" s="292" t="n">
        <x:v>3.6522</x:v>
      </x:c>
      <x:c r="G222" s="293" t="n">
        <x:v>17.1644</x:v>
      </x:c>
      <x:c r="H222" s="293" t="n">
        <x:v>0.1826</x:v>
      </x:c>
      <x:c r="I222" s="293" t="n">
        <x:f>F222*'Assumptions'!$B$7*(1+'Assumptions'!$B$9)</x:f>
        <x:v>8.76528</x:v>
      </x:c>
      <x:c r="J222" s="293" t="n">
        <x:f>F222*('Assumptions'!$B$7+'Assumptions'!$B$8)*(1+'Assumptions'!$B$9)</x:f>
        <x:v>26.29584</x:v>
      </x:c>
      <x:c r="K222" s="295" t="n">
        <x:f>MAX(0,ROUNDUP(J222-E222,0))</x:f>
        <x:v>27</x:v>
      </x:c>
      <x:c r="L222" s="297" t="n">
        <x:f>IF(F222=0,"",E222/F222)</x:f>
        <x:v>0</x:v>
      </x:c>
      <x:c r="M222" s="291" t="str">
        <x:f>IF(F222=0,IF(E222&gt;0,"No recent demand","No demand / no stock"),IF(E222&lt;=I222,"Order now",IF(L222&lt;='Assumptions'!$B$8,"Review soon","Sufficient stock")))</x:f>
        <x:v>Order now</x:v>
      </x:c>
      <x:c r="N222" s="299" t="n">
        <x:f>K222*H222</x:f>
        <x:v>4.9302</x:v>
      </x:c>
    </x:row>
    <x:row r="223" ht="16.5" customHeight="1">
      <x:c r="A223" s="278" t="str">
        <x:v>SKU0664</x:v>
      </x:c>
      <x:c r="B223" s="279" t="str">
        <x:v>Product 0664</x:v>
      </x:c>
      <x:c r="C223" s="279" t="str">
        <x:v>Store C</x:v>
      </x:c>
      <x:c r="D223" s="279" t="str">
        <x:v>Supplier 61</x:v>
      </x:c>
      <x:c r="E223" s="280" t="n">
        <x:v>0</x:v>
      </x:c>
      <x:c r="F223" s="280" t="n">
        <x:v>3.6522</x:v>
      </x:c>
      <x:c r="G223" s="281" t="n">
        <x:v>163.925</x:v>
      </x:c>
      <x:c r="H223" s="281" t="n">
        <x:v>0</x:v>
      </x:c>
      <x:c r="I223" s="281" t="n">
        <x:f>F223*'Assumptions'!$B$7*(1+'Assumptions'!$B$9)</x:f>
        <x:v>8.76528</x:v>
      </x:c>
      <x:c r="J223" s="281" t="n">
        <x:f>F223*('Assumptions'!$B$7+'Assumptions'!$B$8)*(1+'Assumptions'!$B$9)</x:f>
        <x:v>26.29584</x:v>
      </x:c>
      <x:c r="K223" s="296" t="n">
        <x:f>MAX(0,ROUNDUP(J223-E223,0))</x:f>
        <x:v>27</x:v>
      </x:c>
      <x:c r="L223" s="298" t="n">
        <x:f>IF(F223=0,"",E223/F223)</x:f>
        <x:v>0</x:v>
      </x:c>
      <x:c r="M223" s="279" t="str">
        <x:f>IF(F223=0,IF(E223&gt;0,"No recent demand","No demand / no stock"),IF(E223&lt;=I223,"Order now",IF(L223&lt;='Assumptions'!$B$8,"Review soon","Sufficient stock")))</x:f>
        <x:v>Order now</x:v>
      </x:c>
      <x:c r="N223" s="300" t="n">
        <x:f>K223*H223</x:f>
        <x:v>0</x:v>
      </x:c>
    </x:row>
    <x:row r="224" ht="16.5" customHeight="1">
      <x:c r="A224" s="290" t="str">
        <x:v>SKU0682</x:v>
      </x:c>
      <x:c r="B224" s="291" t="str">
        <x:v>Product 0682</x:v>
      </x:c>
      <x:c r="C224" s="291" t="str">
        <x:v>Store B</x:v>
      </x:c>
      <x:c r="D224" s="291" t="str">
        <x:v>Supplier 66</x:v>
      </x:c>
      <x:c r="E224" s="292" t="n">
        <x:v>36</x:v>
      </x:c>
      <x:c r="F224" s="292" t="n">
        <x:v>3.6522</x:v>
      </x:c>
      <x:c r="G224" s="293" t="n">
        <x:v>27.39</x:v>
      </x:c>
      <x:c r="H224" s="293" t="n">
        <x:v>0.3154</x:v>
      </x:c>
      <x:c r="I224" s="293" t="n">
        <x:f>F224*'Assumptions'!$B$7*(1+'Assumptions'!$B$9)</x:f>
        <x:v>8.76528</x:v>
      </x:c>
      <x:c r="J224" s="293" t="n">
        <x:f>F224*('Assumptions'!$B$7+'Assumptions'!$B$8)*(1+'Assumptions'!$B$9)</x:f>
        <x:v>26.29584</x:v>
      </x:c>
      <x:c r="K224" s="295" t="n">
        <x:f>MAX(0,ROUNDUP(J224-E224,0))</x:f>
        <x:v>0</x:v>
      </x:c>
      <x:c r="L224" s="297" t="n">
        <x:f>IF(F224=0,"",E224/F224)</x:f>
        <x:v>9.857072449482503</x:v>
      </x:c>
      <x:c r="M224" s="291" t="str">
        <x:f>IF(F224=0,IF(E224&gt;0,"No recent demand","No demand / no stock"),IF(E224&lt;=I224,"Order now",IF(L224&lt;='Assumptions'!$B$8,"Review soon","Sufficient stock")))</x:f>
        <x:v>Sufficient stock</x:v>
      </x:c>
      <x:c r="N224" s="299" t="n">
        <x:f>K224*H224</x:f>
        <x:v>0</x:v>
      </x:c>
    </x:row>
    <x:row r="225" ht="16.5" customHeight="1">
      <x:c r="A225" s="278" t="str">
        <x:v>SKU0709</x:v>
      </x:c>
      <x:c r="B225" s="279" t="str">
        <x:v>Product 0709</x:v>
      </x:c>
      <x:c r="C225" s="279" t="str">
        <x:v>Store A</x:v>
      </x:c>
      <x:c r="D225" s="279" t="str">
        <x:v>Supplier 02</x:v>
      </x:c>
      <x:c r="E225" s="280" t="n">
        <x:v>0</x:v>
      </x:c>
      <x:c r="F225" s="280" t="n">
        <x:v>3.6522</x:v>
      </x:c>
      <x:c r="G225" s="281" t="n">
        <x:v>38.927</x:v>
      </x:c>
      <x:c r="H225" s="281" t="n">
        <x:v>0.2</x:v>
      </x:c>
      <x:c r="I225" s="281" t="n">
        <x:f>F225*'Assumptions'!$B$7*(1+'Assumptions'!$B$9)</x:f>
        <x:v>8.76528</x:v>
      </x:c>
      <x:c r="J225" s="281" t="n">
        <x:f>F225*('Assumptions'!$B$7+'Assumptions'!$B$8)*(1+'Assumptions'!$B$9)</x:f>
        <x:v>26.29584</x:v>
      </x:c>
      <x:c r="K225" s="296" t="n">
        <x:f>MAX(0,ROUNDUP(J225-E225,0))</x:f>
        <x:v>27</x:v>
      </x:c>
      <x:c r="L225" s="298" t="n">
        <x:f>IF(F225=0,"",E225/F225)</x:f>
        <x:v>0</x:v>
      </x:c>
      <x:c r="M225" s="279" t="str">
        <x:f>IF(F225=0,IF(E225&gt;0,"No recent demand","No demand / no stock"),IF(E225&lt;=I225,"Order now",IF(L225&lt;='Assumptions'!$B$8,"Review soon","Sufficient stock")))</x:f>
        <x:v>Order now</x:v>
      </x:c>
      <x:c r="N225" s="300" t="n">
        <x:f>K225*H225</x:f>
        <x:v>5.4</x:v>
      </x:c>
    </x:row>
    <x:row r="226" ht="16.5" customHeight="1">
      <x:c r="A226" s="290" t="str">
        <x:v>SKU0880</x:v>
      </x:c>
      <x:c r="B226" s="291" t="str">
        <x:v>Product 0880</x:v>
      </x:c>
      <x:c r="C226" s="291" t="str">
        <x:v>Store A</x:v>
      </x:c>
      <x:c r="D226" s="291" t="str">
        <x:v>Supplier 69</x:v>
      </x:c>
      <x:c r="E226" s="292" t="n">
        <x:v>0</x:v>
      </x:c>
      <x:c r="F226" s="292" t="n">
        <x:v>3.6522</x:v>
      </x:c>
      <x:c r="G226" s="293" t="n">
        <x:v>4.3326</x:v>
      </x:c>
      <x:c r="H226" s="293" t="n">
        <x:v>0</x:v>
      </x:c>
      <x:c r="I226" s="293" t="n">
        <x:f>F226*'Assumptions'!$B$7*(1+'Assumptions'!$B$9)</x:f>
        <x:v>8.76528</x:v>
      </x:c>
      <x:c r="J226" s="293" t="n">
        <x:f>F226*('Assumptions'!$B$7+'Assumptions'!$B$8)*(1+'Assumptions'!$B$9)</x:f>
        <x:v>26.29584</x:v>
      </x:c>
      <x:c r="K226" s="295" t="n">
        <x:f>MAX(0,ROUNDUP(J226-E226,0))</x:f>
        <x:v>27</x:v>
      </x:c>
      <x:c r="L226" s="297" t="n">
        <x:f>IF(F226=0,"",E226/F226)</x:f>
        <x:v>0</x:v>
      </x:c>
      <x:c r="M226" s="291" t="str">
        <x:f>IF(F226=0,IF(E226&gt;0,"No recent demand","No demand / no stock"),IF(E226&lt;=I226,"Order now",IF(L226&lt;='Assumptions'!$B$8,"Review soon","Sufficient stock")))</x:f>
        <x:v>Order now</x:v>
      </x:c>
      <x:c r="N226" s="299" t="n">
        <x:f>K226*H226</x:f>
        <x:v>0</x:v>
      </x:c>
    </x:row>
    <x:row r="227" ht="16.5" customHeight="1">
      <x:c r="A227" s="278" t="str">
        <x:v>SKU0882</x:v>
      </x:c>
      <x:c r="B227" s="279" t="str">
        <x:v>Product 0882</x:v>
      </x:c>
      <x:c r="C227" s="279" t="str">
        <x:v>Store A</x:v>
      </x:c>
      <x:c r="D227" s="279" t="str">
        <x:v>Supplier 69</x:v>
      </x:c>
      <x:c r="E227" s="280" t="n">
        <x:v>229</x:v>
      </x:c>
      <x:c r="F227" s="280" t="n">
        <x:v>3.6522</x:v>
      </x:c>
      <x:c r="G227" s="281" t="n">
        <x:v>10.9809</x:v>
      </x:c>
      <x:c r="H227" s="281" t="n">
        <x:v>0.0784</x:v>
      </x:c>
      <x:c r="I227" s="281" t="n">
        <x:f>F227*'Assumptions'!$B$7*(1+'Assumptions'!$B$9)</x:f>
        <x:v>8.76528</x:v>
      </x:c>
      <x:c r="J227" s="281" t="n">
        <x:f>F227*('Assumptions'!$B$7+'Assumptions'!$B$8)*(1+'Assumptions'!$B$9)</x:f>
        <x:v>26.29584</x:v>
      </x:c>
      <x:c r="K227" s="296" t="n">
        <x:f>MAX(0,ROUNDUP(J227-E227,0))</x:f>
        <x:v>0</x:v>
      </x:c>
      <x:c r="L227" s="298" t="n">
        <x:f>IF(F227=0,"",E227/F227)</x:f>
        <x:v>62.70193308143037</x:v>
      </x:c>
      <x:c r="M227" s="279" t="str">
        <x:f>IF(F227=0,IF(E227&gt;0,"No recent demand","No demand / no stock"),IF(E227&lt;=I227,"Order now",IF(L227&lt;='Assumptions'!$B$8,"Review soon","Sufficient stock")))</x:f>
        <x:v>Sufficient stock</x:v>
      </x:c>
      <x:c r="N227" s="300" t="n">
        <x:f>K227*H227</x:f>
        <x:v>0</x:v>
      </x:c>
    </x:row>
    <x:row r="228" ht="16.5" customHeight="1">
      <x:c r="A228" s="290" t="str">
        <x:v>SKU0888</x:v>
      </x:c>
      <x:c r="B228" s="291" t="str">
        <x:v>Product 0888</x:v>
      </x:c>
      <x:c r="C228" s="291" t="str">
        <x:v>Store C</x:v>
      </x:c>
      <x:c r="D228" s="291" t="str">
        <x:v>Supplier 02</x:v>
      </x:c>
      <x:c r="E228" s="292" t="n">
        <x:v>58</x:v>
      </x:c>
      <x:c r="F228" s="292" t="n">
        <x:v>3.6522</x:v>
      </x:c>
      <x:c r="G228" s="293" t="n">
        <x:v>11.3793</x:v>
      </x:c>
      <x:c r="H228" s="293" t="n">
        <x:v>0.0988</x:v>
      </x:c>
      <x:c r="I228" s="293" t="n">
        <x:f>F228*'Assumptions'!$B$7*(1+'Assumptions'!$B$9)</x:f>
        <x:v>8.76528</x:v>
      </x:c>
      <x:c r="J228" s="293" t="n">
        <x:f>F228*('Assumptions'!$B$7+'Assumptions'!$B$8)*(1+'Assumptions'!$B$9)</x:f>
        <x:v>26.29584</x:v>
      </x:c>
      <x:c r="K228" s="295" t="n">
        <x:f>MAX(0,ROUNDUP(J228-E228,0))</x:f>
        <x:v>0</x:v>
      </x:c>
      <x:c r="L228" s="297" t="n">
        <x:f>IF(F228=0,"",E228/F228)</x:f>
        <x:v>15.880838946388478</x:v>
      </x:c>
      <x:c r="M228" s="291" t="str">
        <x:f>IF(F228=0,IF(E228&gt;0,"No recent demand","No demand / no stock"),IF(E228&lt;=I228,"Order now",IF(L228&lt;='Assumptions'!$B$8,"Review soon","Sufficient stock")))</x:f>
        <x:v>Sufficient stock</x:v>
      </x:c>
      <x:c r="N228" s="299" t="n">
        <x:f>K228*H228</x:f>
        <x:v>0</x:v>
      </x:c>
    </x:row>
    <x:row r="229" ht="16.5" customHeight="1">
      <x:c r="A229" s="278" t="str">
        <x:v>SKU1098</x:v>
      </x:c>
      <x:c r="B229" s="279" t="str">
        <x:v>Product 1098</x:v>
      </x:c>
      <x:c r="C229" s="279" t="str">
        <x:v>Store C</x:v>
      </x:c>
      <x:c r="D229" s="279" t="str">
        <x:v>Supplier 09</x:v>
      </x:c>
      <x:c r="E229" s="280" t="n">
        <x:v>0</x:v>
      </x:c>
      <x:c r="F229" s="280" t="n">
        <x:v>3.6522</x:v>
      </x:c>
      <x:c r="G229" s="281" t="n">
        <x:v>63.3456</x:v>
      </x:c>
      <x:c r="H229" s="281" t="n">
        <x:v>0.6558</x:v>
      </x:c>
      <x:c r="I229" s="281" t="n">
        <x:f>F229*'Assumptions'!$B$7*(1+'Assumptions'!$B$9)</x:f>
        <x:v>8.76528</x:v>
      </x:c>
      <x:c r="J229" s="281" t="n">
        <x:f>F229*('Assumptions'!$B$7+'Assumptions'!$B$8)*(1+'Assumptions'!$B$9)</x:f>
        <x:v>26.29584</x:v>
      </x:c>
      <x:c r="K229" s="296" t="n">
        <x:f>MAX(0,ROUNDUP(J229-E229,0))</x:f>
        <x:v>27</x:v>
      </x:c>
      <x:c r="L229" s="298" t="n">
        <x:f>IF(F229=0,"",E229/F229)</x:f>
        <x:v>0</x:v>
      </x:c>
      <x:c r="M229" s="279" t="str">
        <x:f>IF(F229=0,IF(E229&gt;0,"No recent demand","No demand / no stock"),IF(E229&lt;=I229,"Order now",IF(L229&lt;='Assumptions'!$B$8,"Review soon","Sufficient stock")))</x:f>
        <x:v>Order now</x:v>
      </x:c>
      <x:c r="N229" s="300" t="n">
        <x:f>K229*H229</x:f>
        <x:v>17.7066</x:v>
      </x:c>
    </x:row>
    <x:row r="230" ht="16.5" customHeight="1">
      <x:c r="A230" s="290" t="str">
        <x:v>SKU1229</x:v>
      </x:c>
      <x:c r="B230" s="291" t="str">
        <x:v>Product 1229</x:v>
      </x:c>
      <x:c r="C230" s="291" t="str">
        <x:v>Store B</x:v>
      </x:c>
      <x:c r="D230" s="291" t="str">
        <x:v>Supplier 19</x:v>
      </x:c>
      <x:c r="E230" s="292" t="n">
        <x:v>89</x:v>
      </x:c>
      <x:c r="F230" s="292" t="n">
        <x:v>3.6522</x:v>
      </x:c>
      <x:c r="G230" s="293" t="n">
        <x:v>9.9351</x:v>
      </x:c>
      <x:c r="H230" s="293" t="n">
        <x:v>0.0498</x:v>
      </x:c>
      <x:c r="I230" s="293" t="n">
        <x:f>F230*'Assumptions'!$B$7*(1+'Assumptions'!$B$9)</x:f>
        <x:v>8.76528</x:v>
      </x:c>
      <x:c r="J230" s="293" t="n">
        <x:f>F230*('Assumptions'!$B$7+'Assumptions'!$B$8)*(1+'Assumptions'!$B$9)</x:f>
        <x:v>26.29584</x:v>
      </x:c>
      <x:c r="K230" s="295" t="n">
        <x:f>MAX(0,ROUNDUP(J230-E230,0))</x:f>
        <x:v>0</x:v>
      </x:c>
      <x:c r="L230" s="297" t="n">
        <x:f>IF(F230=0,"",E230/F230)</x:f>
        <x:v>24.36887355566508</x:v>
      </x:c>
      <x:c r="M230" s="291" t="str">
        <x:f>IF(F230=0,IF(E230&gt;0,"No recent demand","No demand / no stock"),IF(E230&lt;=I230,"Order now",IF(L230&lt;='Assumptions'!$B$8,"Review soon","Sufficient stock")))</x:f>
        <x:v>Sufficient stock</x:v>
      </x:c>
      <x:c r="N230" s="299" t="n">
        <x:f>K230*H230</x:f>
        <x:v>0</x:v>
      </x:c>
    </x:row>
    <x:row r="231" ht="16.5" customHeight="1">
      <x:c r="A231" s="278" t="str">
        <x:v>SKU1326</x:v>
      </x:c>
      <x:c r="B231" s="279" t="str">
        <x:v>Product 1326</x:v>
      </x:c>
      <x:c r="C231" s="279" t="str">
        <x:v>Store A</x:v>
      </x:c>
      <x:c r="D231" s="279" t="str">
        <x:v>Supplier 03</x:v>
      </x:c>
      <x:c r="E231" s="280" t="n">
        <x:v>0</x:v>
      </x:c>
      <x:c r="F231" s="280" t="n">
        <x:v>3.6522</x:v>
      </x:c>
      <x:c r="G231" s="281" t="n">
        <x:v>67.4458</x:v>
      </x:c>
      <x:c r="H231" s="281" t="n">
        <x:v>0</x:v>
      </x:c>
      <x:c r="I231" s="281" t="n">
        <x:f>F231*'Assumptions'!$B$7*(1+'Assumptions'!$B$9)</x:f>
        <x:v>8.76528</x:v>
      </x:c>
      <x:c r="J231" s="281" t="n">
        <x:f>F231*('Assumptions'!$B$7+'Assumptions'!$B$8)*(1+'Assumptions'!$B$9)</x:f>
        <x:v>26.29584</x:v>
      </x:c>
      <x:c r="K231" s="296" t="n">
        <x:f>MAX(0,ROUNDUP(J231-E231,0))</x:f>
        <x:v>27</x:v>
      </x:c>
      <x:c r="L231" s="298" t="n">
        <x:f>IF(F231=0,"",E231/F231)</x:f>
        <x:v>0</x:v>
      </x:c>
      <x:c r="M231" s="279" t="str">
        <x:f>IF(F231=0,IF(E231&gt;0,"No recent demand","No demand / no stock"),IF(E231&lt;=I231,"Order now",IF(L231&lt;='Assumptions'!$B$8,"Review soon","Sufficient stock")))</x:f>
        <x:v>Order now</x:v>
      </x:c>
      <x:c r="N231" s="300" t="n">
        <x:f>K231*H231</x:f>
        <x:v>0</x:v>
      </x:c>
    </x:row>
    <x:row r="232" ht="16.5" customHeight="1">
      <x:c r="A232" s="290" t="str">
        <x:v>SKU1384</x:v>
      </x:c>
      <x:c r="B232" s="291" t="str">
        <x:v>Product 1384</x:v>
      </x:c>
      <x:c r="C232" s="291" t="str">
        <x:v>Store B</x:v>
      </x:c>
      <x:c r="D232" s="291" t="str">
        <x:v>Multiple suppliers</x:v>
      </x:c>
      <x:c r="E232" s="292" t="n">
        <x:v>13</x:v>
      </x:c>
      <x:c r="F232" s="292" t="n">
        <x:v>3.6522</x:v>
      </x:c>
      <x:c r="G232" s="293" t="n">
        <x:v>46.9116</x:v>
      </x:c>
      <x:c r="H232" s="293" t="n">
        <x:v>0.4897</x:v>
      </x:c>
      <x:c r="I232" s="293" t="n">
        <x:f>F232*'Assumptions'!$B$7*(1+'Assumptions'!$B$9)</x:f>
        <x:v>8.76528</x:v>
      </x:c>
      <x:c r="J232" s="293" t="n">
        <x:f>F232*('Assumptions'!$B$7+'Assumptions'!$B$8)*(1+'Assumptions'!$B$9)</x:f>
        <x:v>26.29584</x:v>
      </x:c>
      <x:c r="K232" s="295" t="n">
        <x:f>MAX(0,ROUNDUP(J232-E232,0))</x:f>
        <x:v>14</x:v>
      </x:c>
      <x:c r="L232" s="297" t="n">
        <x:f>IF(F232=0,"",E232/F232)</x:f>
        <x:v>3.5594983845353485</x:v>
      </x:c>
      <x:c r="M232" s="291" t="str">
        <x:f>IF(F232=0,IF(E232&gt;0,"No recent demand","No demand / no stock"),IF(E232&lt;=I232,"Order now",IF(L232&lt;='Assumptions'!$B$8,"Review soon","Sufficient stock")))</x:f>
        <x:v>Review soon</x:v>
      </x:c>
      <x:c r="N232" s="299" t="n">
        <x:f>K232*H232</x:f>
        <x:v>6.8558</x:v>
      </x:c>
    </x:row>
    <x:row r="233" ht="16.5" customHeight="1">
      <x:c r="A233" s="278" t="str">
        <x:v>SKU1729</x:v>
      </x:c>
      <x:c r="B233" s="279" t="str">
        <x:v>Product 1729</x:v>
      </x:c>
      <x:c r="C233" s="279" t="str">
        <x:v>Store C</x:v>
      </x:c>
      <x:c r="D233" s="279" t="str">
        <x:v>Supplier 09</x:v>
      </x:c>
      <x:c r="E233" s="280" t="n">
        <x:v>0</x:v>
      </x:c>
      <x:c r="F233" s="280" t="n">
        <x:v>3.6522</x:v>
      </x:c>
      <x:c r="G233" s="281" t="n">
        <x:v>157.036</x:v>
      </x:c>
      <x:c r="H233" s="281" t="n">
        <x:v>1.1954</x:v>
      </x:c>
      <x:c r="I233" s="281" t="n">
        <x:f>F233*'Assumptions'!$B$7*(1+'Assumptions'!$B$9)</x:f>
        <x:v>8.76528</x:v>
      </x:c>
      <x:c r="J233" s="281" t="n">
        <x:f>F233*('Assumptions'!$B$7+'Assumptions'!$B$8)*(1+'Assumptions'!$B$9)</x:f>
        <x:v>26.29584</x:v>
      </x:c>
      <x:c r="K233" s="296" t="n">
        <x:f>MAX(0,ROUNDUP(J233-E233,0))</x:f>
        <x:v>27</x:v>
      </x:c>
      <x:c r="L233" s="298" t="n">
        <x:f>IF(F233=0,"",E233/F233)</x:f>
        <x:v>0</x:v>
      </x:c>
      <x:c r="M233" s="279" t="str">
        <x:f>IF(F233=0,IF(E233&gt;0,"No recent demand","No demand / no stock"),IF(E233&lt;=I233,"Order now",IF(L233&lt;='Assumptions'!$B$8,"Review soon","Sufficient stock")))</x:f>
        <x:v>Order now</x:v>
      </x:c>
      <x:c r="N233" s="300" t="n">
        <x:f>K233*H233</x:f>
        <x:v>32.275800000000004</x:v>
      </x:c>
    </x:row>
    <x:row r="234" ht="16.5" customHeight="1">
      <x:c r="A234" s="290" t="str">
        <x:v>SKU0007</x:v>
      </x:c>
      <x:c r="B234" s="291" t="str">
        <x:v>Product 0007</x:v>
      </x:c>
      <x:c r="C234" s="291" t="str">
        <x:v>Store C</x:v>
      </x:c>
      <x:c r="D234" s="291" t="str">
        <x:v>Supplier 64</x:v>
      </x:c>
      <x:c r="E234" s="292" t="n">
        <x:v>1</x:v>
      </x:c>
      <x:c r="F234" s="292" t="n">
        <x:v>3.5761</x:v>
      </x:c>
      <x:c r="G234" s="293" t="n">
        <x:v>26.9584</x:v>
      </x:c>
      <x:c r="H234" s="293" t="n">
        <x:v>0.2093</x:v>
      </x:c>
      <x:c r="I234" s="293" t="n">
        <x:f>F234*'Assumptions'!$B$7*(1+'Assumptions'!$B$9)</x:f>
        <x:v>8.58264</x:v>
      </x:c>
      <x:c r="J234" s="293" t="n">
        <x:f>F234*('Assumptions'!$B$7+'Assumptions'!$B$8)*(1+'Assumptions'!$B$9)</x:f>
        <x:v>25.747919999999997</x:v>
      </x:c>
      <x:c r="K234" s="295" t="n">
        <x:f>MAX(0,ROUNDUP(J234-E234,0))</x:f>
        <x:v>25</x:v>
      </x:c>
      <x:c r="L234" s="297" t="n">
        <x:f>IF(F234=0,"",E234/F234)</x:f>
        <x:v>0.2796342384161517</x:v>
      </x:c>
      <x:c r="M234" s="291" t="str">
        <x:f>IF(F234=0,IF(E234&gt;0,"No recent demand","No demand / no stock"),IF(E234&lt;=I234,"Order now",IF(L234&lt;='Assumptions'!$B$8,"Review soon","Sufficient stock")))</x:f>
        <x:v>Order now</x:v>
      </x:c>
      <x:c r="N234" s="299" t="n">
        <x:f>K234*H234</x:f>
        <x:v>5.2325</x:v>
      </x:c>
    </x:row>
    <x:row r="235" ht="16.5" customHeight="1">
      <x:c r="A235" s="278" t="str">
        <x:v>SKU0094</x:v>
      </x:c>
      <x:c r="B235" s="279" t="str">
        <x:v>Product 0094</x:v>
      </x:c>
      <x:c r="C235" s="279" t="str">
        <x:v>Store C</x:v>
      </x:c>
      <x:c r="D235" s="279" t="str">
        <x:v>Supplier 68</x:v>
      </x:c>
      <x:c r="E235" s="280" t="n">
        <x:v>8</x:v>
      </x:c>
      <x:c r="F235" s="280" t="n">
        <x:v>3.5761</x:v>
      </x:c>
      <x:c r="G235" s="281" t="n">
        <x:v>42.3632</x:v>
      </x:c>
      <x:c r="H235" s="281" t="n">
        <x:v>0.3735</x:v>
      </x:c>
      <x:c r="I235" s="281" t="n">
        <x:f>F235*'Assumptions'!$B$7*(1+'Assumptions'!$B$9)</x:f>
        <x:v>8.58264</x:v>
      </x:c>
      <x:c r="J235" s="281" t="n">
        <x:f>F235*('Assumptions'!$B$7+'Assumptions'!$B$8)*(1+'Assumptions'!$B$9)</x:f>
        <x:v>25.747919999999997</x:v>
      </x:c>
      <x:c r="K235" s="296" t="n">
        <x:f>MAX(0,ROUNDUP(J235-E235,0))</x:f>
        <x:v>18</x:v>
      </x:c>
      <x:c r="L235" s="298" t="n">
        <x:f>IF(F235=0,"",E235/F235)</x:f>
        <x:v>2.2370739073292136</x:v>
      </x:c>
      <x:c r="M235" s="279" t="str">
        <x:f>IF(F235=0,IF(E235&gt;0,"No recent demand","No demand / no stock"),IF(E235&lt;=I235,"Order now",IF(L235&lt;='Assumptions'!$B$8,"Review soon","Sufficient stock")))</x:f>
        <x:v>Order now</x:v>
      </x:c>
      <x:c r="N235" s="300" t="n">
        <x:f>K235*H235</x:f>
        <x:v>6.723</x:v>
      </x:c>
    </x:row>
    <x:row r="236" ht="16.5" customHeight="1">
      <x:c r="A236" s="290" t="str">
        <x:v>SKU0124</x:v>
      </x:c>
      <x:c r="B236" s="291" t="str">
        <x:v>Product 0124</x:v>
      </x:c>
      <x:c r="C236" s="291" t="str">
        <x:v>Store C</x:v>
      </x:c>
      <x:c r="D236" s="291" t="str">
        <x:v>Supplier 05</x:v>
      </x:c>
      <x:c r="E236" s="292" t="n">
        <x:v>27</x:v>
      </x:c>
      <x:c r="F236" s="292" t="n">
        <x:v>3.5761</x:v>
      </x:c>
      <x:c r="G236" s="293" t="n">
        <x:v>85.822</x:v>
      </x:c>
      <x:c r="H236" s="293" t="n">
        <x:v>0.507</x:v>
      </x:c>
      <x:c r="I236" s="293" t="n">
        <x:f>F236*'Assumptions'!$B$7*(1+'Assumptions'!$B$9)</x:f>
        <x:v>8.58264</x:v>
      </x:c>
      <x:c r="J236" s="293" t="n">
        <x:f>F236*('Assumptions'!$B$7+'Assumptions'!$B$8)*(1+'Assumptions'!$B$9)</x:f>
        <x:v>25.747919999999997</x:v>
      </x:c>
      <x:c r="K236" s="295" t="n">
        <x:f>MAX(0,ROUNDUP(J236-E236,0))</x:f>
        <x:v>0</x:v>
      </x:c>
      <x:c r="L236" s="297" t="n">
        <x:f>IF(F236=0,"",E236/F236)</x:f>
        <x:v>7.550124437236096</x:v>
      </x:c>
      <x:c r="M236" s="291" t="str">
        <x:f>IF(F236=0,IF(E236&gt;0,"No recent demand","No demand / no stock"),IF(E236&lt;=I236,"Order now",IF(L236&lt;='Assumptions'!$B$8,"Review soon","Sufficient stock")))</x:f>
        <x:v>Sufficient stock</x:v>
      </x:c>
      <x:c r="N236" s="299" t="n">
        <x:f>K236*H236</x:f>
        <x:v>0</x:v>
      </x:c>
    </x:row>
    <x:row r="237" ht="16.5" customHeight="1">
      <x:c r="A237" s="278" t="str">
        <x:v>SKU0148</x:v>
      </x:c>
      <x:c r="B237" s="279" t="str">
        <x:v>Product 0148</x:v>
      </x:c>
      <x:c r="C237" s="279" t="str">
        <x:v>Store C</x:v>
      </x:c>
      <x:c r="D237" s="279" t="str">
        <x:v>Supplier 68</x:v>
      </x:c>
      <x:c r="E237" s="280" t="n">
        <x:v>27</x:v>
      </x:c>
      <x:c r="F237" s="280" t="n">
        <x:v>3.5761</x:v>
      </x:c>
      <x:c r="G237" s="281" t="n">
        <x:v>42.8197</x:v>
      </x:c>
      <x:c r="H237" s="281" t="n">
        <x:v>0.3569</x:v>
      </x:c>
      <x:c r="I237" s="281" t="n">
        <x:f>F237*'Assumptions'!$B$7*(1+'Assumptions'!$B$9)</x:f>
        <x:v>8.58264</x:v>
      </x:c>
      <x:c r="J237" s="281" t="n">
        <x:f>F237*('Assumptions'!$B$7+'Assumptions'!$B$8)*(1+'Assumptions'!$B$9)</x:f>
        <x:v>25.747919999999997</x:v>
      </x:c>
      <x:c r="K237" s="296" t="n">
        <x:f>MAX(0,ROUNDUP(J237-E237,0))</x:f>
        <x:v>0</x:v>
      </x:c>
      <x:c r="L237" s="298" t="n">
        <x:f>IF(F237=0,"",E237/F237)</x:f>
        <x:v>7.550124437236096</x:v>
      </x:c>
      <x:c r="M237" s="279" t="str">
        <x:f>IF(F237=0,IF(E237&gt;0,"No recent demand","No demand / no stock"),IF(E237&lt;=I237,"Order now",IF(L237&lt;='Assumptions'!$B$8,"Review soon","Sufficient stock")))</x:f>
        <x:v>Sufficient stock</x:v>
      </x:c>
      <x:c r="N237" s="300" t="n">
        <x:f>K237*H237</x:f>
        <x:v>0</x:v>
      </x:c>
    </x:row>
    <x:row r="238" ht="16.5" customHeight="1">
      <x:c r="A238" s="290" t="str">
        <x:v>SKU0519</x:v>
      </x:c>
      <x:c r="B238" s="291" t="str">
        <x:v>Product 0519</x:v>
      </x:c>
      <x:c r="C238" s="291" t="str">
        <x:v>Store B</x:v>
      </x:c>
      <x:c r="D238" s="291" t="str">
        <x:v>Multiple suppliers</x:v>
      </x:c>
      <x:c r="E238" s="292" t="n">
        <x:v>85</x:v>
      </x:c>
      <x:c r="F238" s="292" t="n">
        <x:v>3.5761</x:v>
      </x:c>
      <x:c r="G238" s="293" t="n">
        <x:v>15.4048</x:v>
      </x:c>
      <x:c r="H238" s="293" t="n">
        <x:v>0.0796</x:v>
      </x:c>
      <x:c r="I238" s="293" t="n">
        <x:f>F238*'Assumptions'!$B$7*(1+'Assumptions'!$B$9)</x:f>
        <x:v>8.58264</x:v>
      </x:c>
      <x:c r="J238" s="293" t="n">
        <x:f>F238*('Assumptions'!$B$7+'Assumptions'!$B$8)*(1+'Assumptions'!$B$9)</x:f>
        <x:v>25.747919999999997</x:v>
      </x:c>
      <x:c r="K238" s="295" t="n">
        <x:f>MAX(0,ROUNDUP(J238-E238,0))</x:f>
        <x:v>0</x:v>
      </x:c>
      <x:c r="L238" s="297" t="n">
        <x:f>IF(F238=0,"",E238/F238)</x:f>
        <x:v>23.76891026537289</x:v>
      </x:c>
      <x:c r="M238" s="291" t="str">
        <x:f>IF(F238=0,IF(E238&gt;0,"No recent demand","No demand / no stock"),IF(E238&lt;=I238,"Order now",IF(L238&lt;='Assumptions'!$B$8,"Review soon","Sufficient stock")))</x:f>
        <x:v>Sufficient stock</x:v>
      </x:c>
      <x:c r="N238" s="299" t="n">
        <x:f>K238*H238</x:f>
        <x:v>0</x:v>
      </x:c>
    </x:row>
    <x:row r="239" ht="16.5" customHeight="1">
      <x:c r="A239" s="278" t="str">
        <x:v>SKU0640</x:v>
      </x:c>
      <x:c r="B239" s="279" t="str">
        <x:v>Product 0640</x:v>
      </x:c>
      <x:c r="C239" s="279" t="str">
        <x:v>Store C</x:v>
      </x:c>
      <x:c r="D239" s="279" t="str">
        <x:v>Supplier 02</x:v>
      </x:c>
      <x:c r="E239" s="280" t="n">
        <x:v>20</x:v>
      </x:c>
      <x:c r="F239" s="280" t="n">
        <x:v>3.5761</x:v>
      </x:c>
      <x:c r="G239" s="281" t="n">
        <x:v>77.854</x:v>
      </x:c>
      <x:c r="H239" s="281" t="n">
        <x:v>0.6201</x:v>
      </x:c>
      <x:c r="I239" s="281" t="n">
        <x:f>F239*'Assumptions'!$B$7*(1+'Assumptions'!$B$9)</x:f>
        <x:v>8.58264</x:v>
      </x:c>
      <x:c r="J239" s="281" t="n">
        <x:f>F239*('Assumptions'!$B$7+'Assumptions'!$B$8)*(1+'Assumptions'!$B$9)</x:f>
        <x:v>25.747919999999997</x:v>
      </x:c>
      <x:c r="K239" s="296" t="n">
        <x:f>MAX(0,ROUNDUP(J239-E239,0))</x:f>
        <x:v>6</x:v>
      </x:c>
      <x:c r="L239" s="298" t="n">
        <x:f>IF(F239=0,"",E239/F239)</x:f>
        <x:v>5.592684768323034</x:v>
      </x:c>
      <x:c r="M239" s="279" t="str">
        <x:f>IF(F239=0,IF(E239&gt;0,"No recent demand","No demand / no stock"),IF(E239&lt;=I239,"Order now",IF(L239&lt;='Assumptions'!$B$8,"Review soon","Sufficient stock")))</x:f>
        <x:v>Sufficient stock</x:v>
      </x:c>
      <x:c r="N239" s="300" t="n">
        <x:f>K239*H239</x:f>
        <x:v>3.7206</x:v>
      </x:c>
    </x:row>
    <x:row r="240" ht="16.5" customHeight="1">
      <x:c r="A240" s="290" t="str">
        <x:v>SKU1230</x:v>
      </x:c>
      <x:c r="B240" s="291" t="str">
        <x:v>Product 1230</x:v>
      </x:c>
      <x:c r="C240" s="291" t="str">
        <x:v>Store B</x:v>
      </x:c>
      <x:c r="D240" s="291" t="str">
        <x:v>Supplier 19</x:v>
      </x:c>
      <x:c r="E240" s="292" t="n">
        <x:v>93</x:v>
      </x:c>
      <x:c r="F240" s="292" t="n">
        <x:v>3.5761</x:v>
      </x:c>
      <x:c r="G240" s="293" t="n">
        <x:v>9.6197</x:v>
      </x:c>
      <x:c r="H240" s="293" t="n">
        <x:v>0.0498</x:v>
      </x:c>
      <x:c r="I240" s="293" t="n">
        <x:f>F240*'Assumptions'!$B$7*(1+'Assumptions'!$B$9)</x:f>
        <x:v>8.58264</x:v>
      </x:c>
      <x:c r="J240" s="293" t="n">
        <x:f>F240*('Assumptions'!$B$7+'Assumptions'!$B$8)*(1+'Assumptions'!$B$9)</x:f>
        <x:v>25.747919999999997</x:v>
      </x:c>
      <x:c r="K240" s="295" t="n">
        <x:f>MAX(0,ROUNDUP(J240-E240,0))</x:f>
        <x:v>0</x:v>
      </x:c>
      <x:c r="L240" s="297" t="n">
        <x:f>IF(F240=0,"",E240/F240)</x:f>
        <x:v>26.005984172702107</x:v>
      </x:c>
      <x:c r="M240" s="291" t="str">
        <x:f>IF(F240=0,IF(E240&gt;0,"No recent demand","No demand / no stock"),IF(E240&lt;=I240,"Order now",IF(L240&lt;='Assumptions'!$B$8,"Review soon","Sufficient stock")))</x:f>
        <x:v>Sufficient stock</x:v>
      </x:c>
      <x:c r="N240" s="299" t="n">
        <x:f>K240*H240</x:f>
        <x:v>0</x:v>
      </x:c>
    </x:row>
    <x:row r="241" ht="16.5" customHeight="1">
      <x:c r="A241" s="278" t="str">
        <x:v>SKU1325</x:v>
      </x:c>
      <x:c r="B241" s="279" t="str">
        <x:v>Product 1325</x:v>
      </x:c>
      <x:c r="C241" s="279" t="str">
        <x:v>Store A</x:v>
      </x:c>
      <x:c r="D241" s="279" t="str">
        <x:v>Supplier 03</x:v>
      </x:c>
      <x:c r="E241" s="280" t="n">
        <x:v>0</x:v>
      </x:c>
      <x:c r="F241" s="280" t="n">
        <x:v>3.5761</x:v>
      </x:c>
      <x:c r="G241" s="281" t="n">
        <x:v>64.7649</x:v>
      </x:c>
      <x:c r="H241" s="281" t="n">
        <x:v>0</x:v>
      </x:c>
      <x:c r="I241" s="281" t="n">
        <x:f>F241*'Assumptions'!$B$7*(1+'Assumptions'!$B$9)</x:f>
        <x:v>8.58264</x:v>
      </x:c>
      <x:c r="J241" s="281" t="n">
        <x:f>F241*('Assumptions'!$B$7+'Assumptions'!$B$8)*(1+'Assumptions'!$B$9)</x:f>
        <x:v>25.747919999999997</x:v>
      </x:c>
      <x:c r="K241" s="296" t="n">
        <x:f>MAX(0,ROUNDUP(J241-E241,0))</x:f>
        <x:v>26</x:v>
      </x:c>
      <x:c r="L241" s="298" t="n">
        <x:f>IF(F241=0,"",E241/F241)</x:f>
        <x:v>0</x:v>
      </x:c>
      <x:c r="M241" s="279" t="str">
        <x:f>IF(F241=0,IF(E241&gt;0,"No recent demand","No demand / no stock"),IF(E241&lt;=I241,"Order now",IF(L241&lt;='Assumptions'!$B$8,"Review soon","Sufficient stock")))</x:f>
        <x:v>Order now</x:v>
      </x:c>
      <x:c r="N241" s="300" t="n">
        <x:f>K241*H241</x:f>
        <x:v>0</x:v>
      </x:c>
    </x:row>
    <x:row r="242" ht="16.5" customHeight="1">
      <x:c r="A242" s="290" t="str">
        <x:v>SKU1327</x:v>
      </x:c>
      <x:c r="B242" s="291" t="str">
        <x:v>Product 1327</x:v>
      </x:c>
      <x:c r="C242" s="291" t="str">
        <x:v>Store A</x:v>
      </x:c>
      <x:c r="D242" s="291" t="str">
        <x:v>Supplier 03</x:v>
      </x:c>
      <x:c r="E242" s="292" t="n">
        <x:v>0</x:v>
      </x:c>
      <x:c r="F242" s="292" t="n">
        <x:v>3.5761</x:v>
      </x:c>
      <x:c r="G242" s="293" t="n">
        <x:v>65.7526</x:v>
      </x:c>
      <x:c r="H242" s="293" t="n">
        <x:v>0</x:v>
      </x:c>
      <x:c r="I242" s="293" t="n">
        <x:f>F242*'Assumptions'!$B$7*(1+'Assumptions'!$B$9)</x:f>
        <x:v>8.58264</x:v>
      </x:c>
      <x:c r="J242" s="293" t="n">
        <x:f>F242*('Assumptions'!$B$7+'Assumptions'!$B$8)*(1+'Assumptions'!$B$9)</x:f>
        <x:v>25.747919999999997</x:v>
      </x:c>
      <x:c r="K242" s="295" t="n">
        <x:f>MAX(0,ROUNDUP(J242-E242,0))</x:f>
        <x:v>26</x:v>
      </x:c>
      <x:c r="L242" s="297" t="n">
        <x:f>IF(F242=0,"",E242/F242)</x:f>
        <x:v>0</x:v>
      </x:c>
      <x:c r="M242" s="291" t="str">
        <x:f>IF(F242=0,IF(E242&gt;0,"No recent demand","No demand / no stock"),IF(E242&lt;=I242,"Order now",IF(L242&lt;='Assumptions'!$B$8,"Review soon","Sufficient stock")))</x:f>
        <x:v>Order now</x:v>
      </x:c>
      <x:c r="N242" s="299" t="n">
        <x:f>K242*H242</x:f>
        <x:v>0</x:v>
      </x:c>
    </x:row>
    <x:row r="243" ht="16.5" customHeight="1">
      <x:c r="A243" s="278" t="str">
        <x:v>SKU0803</x:v>
      </x:c>
      <x:c r="B243" s="279" t="str">
        <x:v>Product 0803</x:v>
      </x:c>
      <x:c r="C243" s="279" t="str">
        <x:v>Store C</x:v>
      </x:c>
      <x:c r="D243" s="279" t="str">
        <x:v>Supplier 66</x:v>
      </x:c>
      <x:c r="E243" s="280" t="n">
        <x:v>0</x:v>
      </x:c>
      <x:c r="F243" s="280" t="n">
        <x:v>3.5</x:v>
      </x:c>
      <x:c r="G243" s="281" t="n">
        <x:v>60.5568</x:v>
      </x:c>
      <x:c r="H243" s="281" t="n">
        <x:v>0</x:v>
      </x:c>
      <x:c r="I243" s="281" t="n">
        <x:f>F243*'Assumptions'!$B$7*(1+'Assumptions'!$B$9)</x:f>
        <x:v>8.4</x:v>
      </x:c>
      <x:c r="J243" s="281" t="n">
        <x:f>F243*('Assumptions'!$B$7+'Assumptions'!$B$8)*(1+'Assumptions'!$B$9)</x:f>
        <x:v>25.2</x:v>
      </x:c>
      <x:c r="K243" s="296" t="n">
        <x:f>MAX(0,ROUNDUP(J243-E243,0))</x:f>
        <x:v>26</x:v>
      </x:c>
      <x:c r="L243" s="298" t="n">
        <x:f>IF(F243=0,"",E243/F243)</x:f>
        <x:v>0</x:v>
      </x:c>
      <x:c r="M243" s="279" t="str">
        <x:f>IF(F243=0,IF(E243&gt;0,"No recent demand","No demand / no stock"),IF(E243&lt;=I243,"Order now",IF(L243&lt;='Assumptions'!$B$8,"Review soon","Sufficient stock")))</x:f>
        <x:v>Order now</x:v>
      </x:c>
      <x:c r="N243" s="300" t="n">
        <x:f>K243*H243</x:f>
        <x:v>0</x:v>
      </x:c>
    </x:row>
    <x:row r="244" ht="16.5" customHeight="1">
      <x:c r="A244" s="290" t="str">
        <x:v>SKU0852</x:v>
      </x:c>
      <x:c r="B244" s="291" t="str">
        <x:v>Product 0852</x:v>
      </x:c>
      <x:c r="C244" s="291" t="str">
        <x:v>Store C</x:v>
      </x:c>
      <x:c r="D244" s="291" t="str">
        <x:v>Supplier 43</x:v>
      </x:c>
      <x:c r="E244" s="292" t="n">
        <x:v>0</x:v>
      </x:c>
      <x:c r="F244" s="292" t="n">
        <x:v>3.5</x:v>
      </x:c>
      <x:c r="G244" s="293" t="n">
        <x:v>20.5342</x:v>
      </x:c>
      <x:c r="H244" s="293" t="n">
        <x:v>0.2739</x:v>
      </x:c>
      <x:c r="I244" s="293" t="n">
        <x:f>F244*'Assumptions'!$B$7*(1+'Assumptions'!$B$9)</x:f>
        <x:v>8.4</x:v>
      </x:c>
      <x:c r="J244" s="293" t="n">
        <x:f>F244*('Assumptions'!$B$7+'Assumptions'!$B$8)*(1+'Assumptions'!$B$9)</x:f>
        <x:v>25.2</x:v>
      </x:c>
      <x:c r="K244" s="295" t="n">
        <x:f>MAX(0,ROUNDUP(J244-E244,0))</x:f>
        <x:v>26</x:v>
      </x:c>
      <x:c r="L244" s="297" t="n">
        <x:f>IF(F244=0,"",E244/F244)</x:f>
        <x:v>0</x:v>
      </x:c>
      <x:c r="M244" s="291" t="str">
        <x:f>IF(F244=0,IF(E244&gt;0,"No recent demand","No demand / no stock"),IF(E244&lt;=I244,"Order now",IF(L244&lt;='Assumptions'!$B$8,"Review soon","Sufficient stock")))</x:f>
        <x:v>Order now</x:v>
      </x:c>
      <x:c r="N244" s="299" t="n">
        <x:f>K244*H244</x:f>
        <x:v>7.1213999999999995</x:v>
      </x:c>
    </x:row>
    <x:row r="245" ht="16.5" customHeight="1">
      <x:c r="A245" s="278" t="str">
        <x:v>SKU0879</x:v>
      </x:c>
      <x:c r="B245" s="279" t="str">
        <x:v>Product 0879</x:v>
      </x:c>
      <x:c r="C245" s="279" t="str">
        <x:v>Store A</x:v>
      </x:c>
      <x:c r="D245" s="279" t="str">
        <x:v>Supplier 69</x:v>
      </x:c>
      <x:c r="E245" s="280" t="n">
        <x:v>80</x:v>
      </x:c>
      <x:c r="F245" s="280" t="n">
        <x:v>3.5</x:v>
      </x:c>
      <x:c r="G245" s="281" t="n">
        <x:v>5.6025</x:v>
      </x:c>
      <x:c r="H245" s="281" t="n">
        <x:v>0.0311</x:v>
      </x:c>
      <x:c r="I245" s="281" t="n">
        <x:f>F245*'Assumptions'!$B$7*(1+'Assumptions'!$B$9)</x:f>
        <x:v>8.4</x:v>
      </x:c>
      <x:c r="J245" s="281" t="n">
        <x:f>F245*('Assumptions'!$B$7+'Assumptions'!$B$8)*(1+'Assumptions'!$B$9)</x:f>
        <x:v>25.2</x:v>
      </x:c>
      <x:c r="K245" s="296" t="n">
        <x:f>MAX(0,ROUNDUP(J245-E245,0))</x:f>
        <x:v>0</x:v>
      </x:c>
      <x:c r="L245" s="298" t="n">
        <x:f>IF(F245=0,"",E245/F245)</x:f>
        <x:v>22.857142857142858</x:v>
      </x:c>
      <x:c r="M245" s="279" t="str">
        <x:f>IF(F245=0,IF(E245&gt;0,"No recent demand","No demand / no stock"),IF(E245&lt;=I245,"Order now",IF(L245&lt;='Assumptions'!$B$8,"Review soon","Sufficient stock")))</x:f>
        <x:v>Sufficient stock</x:v>
      </x:c>
      <x:c r="N245" s="300" t="n">
        <x:f>K245*H245</x:f>
        <x:v>0</x:v>
      </x:c>
    </x:row>
    <x:row r="246" ht="16.5" customHeight="1">
      <x:c r="A246" s="290" t="str">
        <x:v>SKU1013</x:v>
      </x:c>
      <x:c r="B246" s="291" t="str">
        <x:v>Product 1013</x:v>
      </x:c>
      <x:c r="C246" s="291" t="str">
        <x:v>Store A</x:v>
      </x:c>
      <x:c r="D246" s="291" t="str">
        <x:v>Supplier 03</x:v>
      </x:c>
      <x:c r="E246" s="292" t="n">
        <x:v>28</x:v>
      </x:c>
      <x:c r="F246" s="292" t="n">
        <x:v>3.5</x:v>
      </x:c>
      <x:c r="G246" s="293" t="n">
        <x:v>42.6454</x:v>
      </x:c>
      <x:c r="H246" s="293" t="n">
        <x:v>0.4648</x:v>
      </x:c>
      <x:c r="I246" s="293" t="n">
        <x:f>F246*'Assumptions'!$B$7*(1+'Assumptions'!$B$9)</x:f>
        <x:v>8.4</x:v>
      </x:c>
      <x:c r="J246" s="293" t="n">
        <x:f>F246*('Assumptions'!$B$7+'Assumptions'!$B$8)*(1+'Assumptions'!$B$9)</x:f>
        <x:v>25.2</x:v>
      </x:c>
      <x:c r="K246" s="295" t="n">
        <x:f>MAX(0,ROUNDUP(J246-E246,0))</x:f>
        <x:v>0</x:v>
      </x:c>
      <x:c r="L246" s="297" t="n">
        <x:f>IF(F246=0,"",E246/F246)</x:f>
        <x:v>8</x:v>
      </x:c>
      <x:c r="M246" s="291" t="str">
        <x:f>IF(F246=0,IF(E246&gt;0,"No recent demand","No demand / no stock"),IF(E246&lt;=I246,"Order now",IF(L246&lt;='Assumptions'!$B$8,"Review soon","Sufficient stock")))</x:f>
        <x:v>Sufficient stock</x:v>
      </x:c>
      <x:c r="N246" s="299" t="n">
        <x:f>K246*H246</x:f>
        <x:v>0</x:v>
      </x:c>
    </x:row>
    <x:row r="247" ht="16.5" customHeight="1">
      <x:c r="A247" s="278" t="str">
        <x:v>SKU1231</x:v>
      </x:c>
      <x:c r="B247" s="279" t="str">
        <x:v>Product 1231</x:v>
      </x:c>
      <x:c r="C247" s="279" t="str">
        <x:v>Store A</x:v>
      </x:c>
      <x:c r="D247" s="279" t="str">
        <x:v>Supplier 19</x:v>
      </x:c>
      <x:c r="E247" s="280" t="n">
        <x:v>98</x:v>
      </x:c>
      <x:c r="F247" s="280" t="n">
        <x:v>3.5</x:v>
      </x:c>
      <x:c r="G247" s="281" t="n">
        <x:v>7.553</x:v>
      </x:c>
      <x:c r="H247" s="281" t="n">
        <x:v>0.0498</x:v>
      </x:c>
      <x:c r="I247" s="281" t="n">
        <x:f>F247*'Assumptions'!$B$7*(1+'Assumptions'!$B$9)</x:f>
        <x:v>8.4</x:v>
      </x:c>
      <x:c r="J247" s="281" t="n">
        <x:f>F247*('Assumptions'!$B$7+'Assumptions'!$B$8)*(1+'Assumptions'!$B$9)</x:f>
        <x:v>25.2</x:v>
      </x:c>
      <x:c r="K247" s="296" t="n">
        <x:f>MAX(0,ROUNDUP(J247-E247,0))</x:f>
        <x:v>0</x:v>
      </x:c>
      <x:c r="L247" s="298" t="n">
        <x:f>IF(F247=0,"",E247/F247)</x:f>
        <x:v>28</x:v>
      </x:c>
      <x:c r="M247" s="279" t="str">
        <x:f>IF(F247=0,IF(E247&gt;0,"No recent demand","No demand / no stock"),IF(E247&lt;=I247,"Order now",IF(L247&lt;='Assumptions'!$B$8,"Review soon","Sufficient stock")))</x:f>
        <x:v>Sufficient stock</x:v>
      </x:c>
      <x:c r="N247" s="300" t="n">
        <x:f>K247*H247</x:f>
        <x:v>0</x:v>
      </x:c>
    </x:row>
    <x:row r="248" ht="16.5" customHeight="1">
      <x:c r="A248" s="290" t="str">
        <x:v>SKU0152</x:v>
      </x:c>
      <x:c r="B248" s="291" t="str">
        <x:v>Product 0152</x:v>
      </x:c>
      <x:c r="C248" s="291" t="str">
        <x:v>Store A</x:v>
      </x:c>
      <x:c r="D248" s="291" t="str">
        <x:v>Supplier 68</x:v>
      </x:c>
      <x:c r="E248" s="292" t="n">
        <x:v>45</x:v>
      </x:c>
      <x:c r="F248" s="292" t="n">
        <x:v>3.4239</x:v>
      </x:c>
      <x:c r="G248" s="293" t="n">
        <x:v>16.4589</x:v>
      </x:c>
      <x:c r="H248" s="293" t="n">
        <x:v>0.1231</x:v>
      </x:c>
      <x:c r="I248" s="293" t="n">
        <x:f>F248*'Assumptions'!$B$7*(1+'Assumptions'!$B$9)</x:f>
        <x:v>8.21736</x:v>
      </x:c>
      <x:c r="J248" s="293" t="n">
        <x:f>F248*('Assumptions'!$B$7+'Assumptions'!$B$8)*(1+'Assumptions'!$B$9)</x:f>
        <x:v>24.65208</x:v>
      </x:c>
      <x:c r="K248" s="295" t="n">
        <x:f>MAX(0,ROUNDUP(J248-E248,0))</x:f>
        <x:v>0</x:v>
      </x:c>
      <x:c r="L248" s="297" t="n">
        <x:f>IF(F248=0,"",E248/F248)</x:f>
        <x:v>13.142907211075089</x:v>
      </x:c>
      <x:c r="M248" s="291" t="str">
        <x:f>IF(F248=0,IF(E248&gt;0,"No recent demand","No demand / no stock"),IF(E248&lt;=I248,"Order now",IF(L248&lt;='Assumptions'!$B$8,"Review soon","Sufficient stock")))</x:f>
        <x:v>Sufficient stock</x:v>
      </x:c>
      <x:c r="N248" s="299" t="n">
        <x:f>K248*H248</x:f>
        <x:v>0</x:v>
      </x:c>
    </x:row>
    <x:row r="249" ht="16.5" customHeight="1">
      <x:c r="A249" s="278" t="str">
        <x:v>SKU0247</x:v>
      </x:c>
      <x:c r="B249" s="279" t="str">
        <x:v>Product 0247</x:v>
      </x:c>
      <x:c r="C249" s="279" t="str">
        <x:v>Store B</x:v>
      </x:c>
      <x:c r="D249" s="279" t="str">
        <x:v>Multiple suppliers</x:v>
      </x:c>
      <x:c r="E249" s="280" t="n">
        <x:v>10</x:v>
      </x:c>
      <x:c r="F249" s="280" t="n">
        <x:v>3.4239</x:v>
      </x:c>
      <x:c r="G249" s="281" t="n">
        <x:v>69.8611</x:v>
      </x:c>
      <x:c r="H249" s="281" t="n">
        <x:v>0.679</x:v>
      </x:c>
      <x:c r="I249" s="281" t="n">
        <x:f>F249*'Assumptions'!$B$7*(1+'Assumptions'!$B$9)</x:f>
        <x:v>8.21736</x:v>
      </x:c>
      <x:c r="J249" s="281" t="n">
        <x:f>F249*('Assumptions'!$B$7+'Assumptions'!$B$8)*(1+'Assumptions'!$B$9)</x:f>
        <x:v>24.65208</x:v>
      </x:c>
      <x:c r="K249" s="296" t="n">
        <x:f>MAX(0,ROUNDUP(J249-E249,0))</x:f>
        <x:v>15</x:v>
      </x:c>
      <x:c r="L249" s="298" t="n">
        <x:f>IF(F249=0,"",E249/F249)</x:f>
        <x:v>2.9206460469055755</x:v>
      </x:c>
      <x:c r="M249" s="279" t="str">
        <x:f>IF(F249=0,IF(E249&gt;0,"No recent demand","No demand / no stock"),IF(E249&lt;=I249,"Order now",IF(L249&lt;='Assumptions'!$B$8,"Review soon","Sufficient stock")))</x:f>
        <x:v>Review soon</x:v>
      </x:c>
      <x:c r="N249" s="300" t="n">
        <x:f>K249*H249</x:f>
        <x:v>10.185</x:v>
      </x:c>
    </x:row>
    <x:row r="250" ht="16.5" customHeight="1">
      <x:c r="A250" s="290" t="str">
        <x:v>SKU0248</x:v>
      </x:c>
      <x:c r="B250" s="291" t="str">
        <x:v>Product 0248</x:v>
      </x:c>
      <x:c r="C250" s="291" t="str">
        <x:v>Store A</x:v>
      </x:c>
      <x:c r="D250" s="291" t="str">
        <x:v>Multiple suppliers</x:v>
      </x:c>
      <x:c r="E250" s="292" t="n">
        <x:v>5</x:v>
      </x:c>
      <x:c r="F250" s="292" t="n">
        <x:v>3.4239</x:v>
      </x:c>
      <x:c r="G250" s="293" t="n">
        <x:v>69.7034</x:v>
      </x:c>
      <x:c r="H250" s="293" t="n">
        <x:v>0.679</x:v>
      </x:c>
      <x:c r="I250" s="293" t="n">
        <x:f>F250*'Assumptions'!$B$7*(1+'Assumptions'!$B$9)</x:f>
        <x:v>8.21736</x:v>
      </x:c>
      <x:c r="J250" s="293" t="n">
        <x:f>F250*('Assumptions'!$B$7+'Assumptions'!$B$8)*(1+'Assumptions'!$B$9)</x:f>
        <x:v>24.65208</x:v>
      </x:c>
      <x:c r="K250" s="295" t="n">
        <x:f>MAX(0,ROUNDUP(J250-E250,0))</x:f>
        <x:v>20</x:v>
      </x:c>
      <x:c r="L250" s="297" t="n">
        <x:f>IF(F250=0,"",E250/F250)</x:f>
        <x:v>1.4603230234527877</x:v>
      </x:c>
      <x:c r="M250" s="291" t="str">
        <x:f>IF(F250=0,IF(E250&gt;0,"No recent demand","No demand / no stock"),IF(E250&lt;=I250,"Order now",IF(L250&lt;='Assumptions'!$B$8,"Review soon","Sufficient stock")))</x:f>
        <x:v>Order now</x:v>
      </x:c>
      <x:c r="N250" s="299" t="n">
        <x:f>K250*H250</x:f>
        <x:v>13.580000000000002</x:v>
      </x:c>
    </x:row>
    <x:row r="251" ht="16.5" customHeight="1">
      <x:c r="A251" s="278" t="str">
        <x:v>SKU1370</x:v>
      </x:c>
      <x:c r="B251" s="279" t="str">
        <x:v>Product 1370</x:v>
      </x:c>
      <x:c r="C251" s="279" t="str">
        <x:v>Store C</x:v>
      </x:c>
      <x:c r="D251" s="279" t="str">
        <x:v>Supplier 24</x:v>
      </x:c>
      <x:c r="E251" s="280" t="n">
        <x:v>3</x:v>
      </x:c>
      <x:c r="F251" s="280" t="n">
        <x:v>3.4239</x:v>
      </x:c>
      <x:c r="G251" s="281" t="n">
        <x:v>36.852</x:v>
      </x:c>
      <x:c r="H251" s="281" t="n">
        <x:v>0.4067</x:v>
      </x:c>
      <x:c r="I251" s="281" t="n">
        <x:f>F251*'Assumptions'!$B$7*(1+'Assumptions'!$B$9)</x:f>
        <x:v>8.21736</x:v>
      </x:c>
      <x:c r="J251" s="281" t="n">
        <x:f>F251*('Assumptions'!$B$7+'Assumptions'!$B$8)*(1+'Assumptions'!$B$9)</x:f>
        <x:v>24.65208</x:v>
      </x:c>
      <x:c r="K251" s="296" t="n">
        <x:f>MAX(0,ROUNDUP(J251-E251,0))</x:f>
        <x:v>22</x:v>
      </x:c>
      <x:c r="L251" s="298" t="n">
        <x:f>IF(F251=0,"",E251/F251)</x:f>
        <x:v>0.8761938140716726</x:v>
      </x:c>
      <x:c r="M251" s="279" t="str">
        <x:f>IF(F251=0,IF(E251&gt;0,"No recent demand","No demand / no stock"),IF(E251&lt;=I251,"Order now",IF(L251&lt;='Assumptions'!$B$8,"Review soon","Sufficient stock")))</x:f>
        <x:v>Order now</x:v>
      </x:c>
      <x:c r="N251" s="300" t="n">
        <x:f>K251*H251</x:f>
        <x:v>8.9474</x:v>
      </x:c>
    </x:row>
    <x:row r="252" ht="16.5" customHeight="1">
      <x:c r="A252" s="290" t="str">
        <x:v>SKU1615</x:v>
      </x:c>
      <x:c r="B252" s="291" t="str">
        <x:v>Product 1615</x:v>
      </x:c>
      <x:c r="C252" s="291" t="str">
        <x:v>Store B</x:v>
      </x:c>
      <x:c r="D252" s="291" t="str">
        <x:v>Supplier 07</x:v>
      </x:c>
      <x:c r="E252" s="292" t="n">
        <x:v>6</x:v>
      </x:c>
      <x:c r="F252" s="292" t="n">
        <x:v>3.4239</x:v>
      </x:c>
      <x:c r="G252" s="293" t="n">
        <x:v>62.3662</x:v>
      </x:c>
      <x:c r="H252" s="293" t="n">
        <x:v>0.664</x:v>
      </x:c>
      <x:c r="I252" s="293" t="n">
        <x:f>F252*'Assumptions'!$B$7*(1+'Assumptions'!$B$9)</x:f>
        <x:v>8.21736</x:v>
      </x:c>
      <x:c r="J252" s="293" t="n">
        <x:f>F252*('Assumptions'!$B$7+'Assumptions'!$B$8)*(1+'Assumptions'!$B$9)</x:f>
        <x:v>24.65208</x:v>
      </x:c>
      <x:c r="K252" s="295" t="n">
        <x:f>MAX(0,ROUNDUP(J252-E252,0))</x:f>
        <x:v>19</x:v>
      </x:c>
      <x:c r="L252" s="297" t="n">
        <x:f>IF(F252=0,"",E252/F252)</x:f>
        <x:v>1.7523876281433453</x:v>
      </x:c>
      <x:c r="M252" s="291" t="str">
        <x:f>IF(F252=0,IF(E252&gt;0,"No recent demand","No demand / no stock"),IF(E252&lt;=I252,"Order now",IF(L252&lt;='Assumptions'!$B$8,"Review soon","Sufficient stock")))</x:f>
        <x:v>Order now</x:v>
      </x:c>
      <x:c r="N252" s="299" t="n">
        <x:f>K252*H252</x:f>
        <x:v>12.616000000000001</x:v>
      </x:c>
    </x:row>
    <x:row r="253" ht="16.5" customHeight="1">
      <x:c r="A253" s="278" t="str">
        <x:v>SKU1730</x:v>
      </x:c>
      <x:c r="B253" s="279" t="str">
        <x:v>Product 1730</x:v>
      </x:c>
      <x:c r="C253" s="279" t="str">
        <x:v>Store B</x:v>
      </x:c>
      <x:c r="D253" s="279" t="str">
        <x:v>Supplier 09</x:v>
      </x:c>
      <x:c r="E253" s="280" t="n">
        <x:v>11</x:v>
      </x:c>
      <x:c r="F253" s="280" t="n">
        <x:v>3.4239</x:v>
      </x:c>
      <x:c r="G253" s="281" t="n">
        <x:v>125.164</x:v>
      </x:c>
      <x:c r="H253" s="281" t="n">
        <x:v>1.0707</x:v>
      </x:c>
      <x:c r="I253" s="281" t="n">
        <x:f>F253*'Assumptions'!$B$7*(1+'Assumptions'!$B$9)</x:f>
        <x:v>8.21736</x:v>
      </x:c>
      <x:c r="J253" s="281" t="n">
        <x:f>F253*('Assumptions'!$B$7+'Assumptions'!$B$8)*(1+'Assumptions'!$B$9)</x:f>
        <x:v>24.65208</x:v>
      </x:c>
      <x:c r="K253" s="296" t="n">
        <x:f>MAX(0,ROUNDUP(J253-E253,0))</x:f>
        <x:v>14</x:v>
      </x:c>
      <x:c r="L253" s="298" t="n">
        <x:f>IF(F253=0,"",E253/F253)</x:f>
        <x:v>3.212710651596133</x:v>
      </x:c>
      <x:c r="M253" s="279" t="str">
        <x:f>IF(F253=0,IF(E253&gt;0,"No recent demand","No demand / no stock"),IF(E253&lt;=I253,"Order now",IF(L253&lt;='Assumptions'!$B$8,"Review soon","Sufficient stock")))</x:f>
        <x:v>Review soon</x:v>
      </x:c>
      <x:c r="N253" s="300" t="n">
        <x:f>K253*H253</x:f>
        <x:v>14.989799999999999</x:v>
      </x:c>
    </x:row>
    <x:row r="254" ht="16.5" customHeight="1">
      <x:c r="A254" s="290" t="str">
        <x:v>SKU0064</x:v>
      </x:c>
      <x:c r="B254" s="291" t="str">
        <x:v>Product 0064</x:v>
      </x:c>
      <x:c r="C254" s="291" t="str">
        <x:v>Store C</x:v>
      </x:c>
      <x:c r="D254" s="291" t="str">
        <x:v>Supplier 68</x:v>
      </x:c>
      <x:c r="E254" s="292" t="n">
        <x:v>1</x:v>
      </x:c>
      <x:c r="F254" s="292" t="n">
        <x:v>3.3478</x:v>
      </x:c>
      <x:c r="G254" s="293" t="n">
        <x:v>40.006</x:v>
      </x:c>
      <x:c r="H254" s="293" t="n">
        <x:v>0.3735</x:v>
      </x:c>
      <x:c r="I254" s="293" t="n">
        <x:f>F254*'Assumptions'!$B$7*(1+'Assumptions'!$B$9)</x:f>
        <x:v>8.03472</x:v>
      </x:c>
      <x:c r="J254" s="293" t="n">
        <x:f>F254*('Assumptions'!$B$7+'Assumptions'!$B$8)*(1+'Assumptions'!$B$9)</x:f>
        <x:v>24.10416</x:v>
      </x:c>
      <x:c r="K254" s="295" t="n">
        <x:f>MAX(0,ROUNDUP(J254-E254,0))</x:f>
        <x:v>24</x:v>
      </x:c>
      <x:c r="L254" s="297" t="n">
        <x:f>IF(F254=0,"",E254/F254)</x:f>
        <x:v>0.29870362626202285</x:v>
      </x:c>
      <x:c r="M254" s="291" t="str">
        <x:f>IF(F254=0,IF(E254&gt;0,"No recent demand","No demand / no stock"),IF(E254&lt;=I254,"Order now",IF(L254&lt;='Assumptions'!$B$8,"Review soon","Sufficient stock")))</x:f>
        <x:v>Order now</x:v>
      </x:c>
      <x:c r="N254" s="299" t="n">
        <x:f>K254*H254</x:f>
        <x:v>8.964</x:v>
      </x:c>
    </x:row>
    <x:row r="255" ht="16.5" customHeight="1">
      <x:c r="A255" s="278" t="str">
        <x:v>SKU0564</x:v>
      </x:c>
      <x:c r="B255" s="279" t="str">
        <x:v>Product 0564</x:v>
      </x:c>
      <x:c r="C255" s="279" t="str">
        <x:v>Store C</x:v>
      </x:c>
      <x:c r="D255" s="279" t="str">
        <x:v>Supplier 02</x:v>
      </x:c>
      <x:c r="E255" s="280" t="n">
        <x:v>0</x:v>
      </x:c>
      <x:c r="F255" s="280" t="n">
        <x:v>3.3478</x:v>
      </x:c>
      <x:c r="G255" s="281" t="n">
        <x:v>71.712</x:v>
      </x:c>
      <x:c r="H255" s="281" t="n">
        <x:v>0.4897</x:v>
      </x:c>
      <x:c r="I255" s="281" t="n">
        <x:f>F255*'Assumptions'!$B$7*(1+'Assumptions'!$B$9)</x:f>
        <x:v>8.03472</x:v>
      </x:c>
      <x:c r="J255" s="281" t="n">
        <x:f>F255*('Assumptions'!$B$7+'Assumptions'!$B$8)*(1+'Assumptions'!$B$9)</x:f>
        <x:v>24.10416</x:v>
      </x:c>
      <x:c r="K255" s="296" t="n">
        <x:f>MAX(0,ROUNDUP(J255-E255,0))</x:f>
        <x:v>25</x:v>
      </x:c>
      <x:c r="L255" s="298" t="n">
        <x:f>IF(F255=0,"",E255/F255)</x:f>
        <x:v>0</x:v>
      </x:c>
      <x:c r="M255" s="279" t="str">
        <x:f>IF(F255=0,IF(E255&gt;0,"No recent demand","No demand / no stock"),IF(E255&lt;=I255,"Order now",IF(L255&lt;='Assumptions'!$B$8,"Review soon","Sufficient stock")))</x:f>
        <x:v>Order now</x:v>
      </x:c>
      <x:c r="N255" s="300" t="n">
        <x:f>K255*H255</x:f>
        <x:v>12.2425</x:v>
      </x:c>
    </x:row>
    <x:row r="256" ht="16.5" customHeight="1">
      <x:c r="A256" s="290" t="str">
        <x:v>SKU0582</x:v>
      </x:c>
      <x:c r="B256" s="291" t="str">
        <x:v>Product 0582</x:v>
      </x:c>
      <x:c r="C256" s="291" t="str">
        <x:v>Store A</x:v>
      </x:c>
      <x:c r="D256" s="291" t="str">
        <x:v>Supplier 64</x:v>
      </x:c>
      <x:c r="E256" s="292" t="n">
        <x:v>0</x:v>
      </x:c>
      <x:c r="F256" s="292" t="n">
        <x:v>3.3478</x:v>
      </x:c>
      <x:c r="G256" s="293" t="n">
        <x:v>15.8115</x:v>
      </x:c>
      <x:c r="H256" s="293" t="n">
        <x:v>0.0913</x:v>
      </x:c>
      <x:c r="I256" s="293" t="n">
        <x:f>F256*'Assumptions'!$B$7*(1+'Assumptions'!$B$9)</x:f>
        <x:v>8.03472</x:v>
      </x:c>
      <x:c r="J256" s="293" t="n">
        <x:f>F256*('Assumptions'!$B$7+'Assumptions'!$B$8)*(1+'Assumptions'!$B$9)</x:f>
        <x:v>24.10416</x:v>
      </x:c>
      <x:c r="K256" s="295" t="n">
        <x:f>MAX(0,ROUNDUP(J256-E256,0))</x:f>
        <x:v>25</x:v>
      </x:c>
      <x:c r="L256" s="297" t="n">
        <x:f>IF(F256=0,"",E256/F256)</x:f>
        <x:v>0</x:v>
      </x:c>
      <x:c r="M256" s="291" t="str">
        <x:f>IF(F256=0,IF(E256&gt;0,"No recent demand","No demand / no stock"),IF(E256&lt;=I256,"Order now",IF(L256&lt;='Assumptions'!$B$8,"Review soon","Sufficient stock")))</x:f>
        <x:v>Order now</x:v>
      </x:c>
      <x:c r="N256" s="299" t="n">
        <x:f>K256*H256</x:f>
        <x:v>2.2825</x:v>
      </x:c>
    </x:row>
    <x:row r="257" ht="16.5" customHeight="1">
      <x:c r="A257" s="278" t="str">
        <x:v>SKU1000</x:v>
      </x:c>
      <x:c r="B257" s="279" t="str">
        <x:v>Product 1000</x:v>
      </x:c>
      <x:c r="C257" s="279" t="str">
        <x:v>Store C</x:v>
      </x:c>
      <x:c r="D257" s="279" t="str">
        <x:v>Supplier 22</x:v>
      </x:c>
      <x:c r="E257" s="280" t="n">
        <x:v>0</x:v>
      </x:c>
      <x:c r="F257" s="280" t="n">
        <x:v>3.3478</x:v>
      </x:c>
      <x:c r="G257" s="281" t="n">
        <x:v>29.1496</x:v>
      </x:c>
      <x:c r="H257" s="281" t="n">
        <x:v>0.2491</x:v>
      </x:c>
      <x:c r="I257" s="281" t="n">
        <x:f>F257*'Assumptions'!$B$7*(1+'Assumptions'!$B$9)</x:f>
        <x:v>8.03472</x:v>
      </x:c>
      <x:c r="J257" s="281" t="n">
        <x:f>F257*('Assumptions'!$B$7+'Assumptions'!$B$8)*(1+'Assumptions'!$B$9)</x:f>
        <x:v>24.10416</x:v>
      </x:c>
      <x:c r="K257" s="296" t="n">
        <x:f>MAX(0,ROUNDUP(J257-E257,0))</x:f>
        <x:v>25</x:v>
      </x:c>
      <x:c r="L257" s="298" t="n">
        <x:f>IF(F257=0,"",E257/F257)</x:f>
        <x:v>0</x:v>
      </x:c>
      <x:c r="M257" s="279" t="str">
        <x:f>IF(F257=0,IF(E257&gt;0,"No recent demand","No demand / no stock"),IF(E257&lt;=I257,"Order now",IF(L257&lt;='Assumptions'!$B$8,"Review soon","Sufficient stock")))</x:f>
        <x:v>Order now</x:v>
      </x:c>
      <x:c r="N257" s="300" t="n">
        <x:f>K257*H257</x:f>
        <x:v>6.2275</x:v>
      </x:c>
    </x:row>
    <x:row r="258" ht="16.5" customHeight="1">
      <x:c r="A258" s="290" t="str">
        <x:v>SKU1084</x:v>
      </x:c>
      <x:c r="B258" s="291" t="str">
        <x:v>Product 1084</x:v>
      </x:c>
      <x:c r="C258" s="291" t="str">
        <x:v>Store A</x:v>
      </x:c>
      <x:c r="D258" s="291" t="str">
        <x:v>Supplier 02</x:v>
      </x:c>
      <x:c r="E258" s="292" t="n">
        <x:v>7</x:v>
      </x:c>
      <x:c r="F258" s="292" t="n">
        <x:v>3.3478</x:v>
      </x:c>
      <x:c r="G258" s="293" t="n">
        <x:v>53.535</x:v>
      </x:c>
      <x:c r="H258" s="293" t="n">
        <x:v>0.3196</x:v>
      </x:c>
      <x:c r="I258" s="293" t="n">
        <x:f>F258*'Assumptions'!$B$7*(1+'Assumptions'!$B$9)</x:f>
        <x:v>8.03472</x:v>
      </x:c>
      <x:c r="J258" s="293" t="n">
        <x:f>F258*('Assumptions'!$B$7+'Assumptions'!$B$8)*(1+'Assumptions'!$B$9)</x:f>
        <x:v>24.10416</x:v>
      </x:c>
      <x:c r="K258" s="295" t="n">
        <x:f>MAX(0,ROUNDUP(J258-E258,0))</x:f>
        <x:v>18</x:v>
      </x:c>
      <x:c r="L258" s="297" t="n">
        <x:f>IF(F258=0,"",E258/F258)</x:f>
        <x:v>2.09092538383416</x:v>
      </x:c>
      <x:c r="M258" s="291" t="str">
        <x:f>IF(F258=0,IF(E258&gt;0,"No recent demand","No demand / no stock"),IF(E258&lt;=I258,"Order now",IF(L258&lt;='Assumptions'!$B$8,"Review soon","Sufficient stock")))</x:f>
        <x:v>Order now</x:v>
      </x:c>
      <x:c r="N258" s="299" t="n">
        <x:f>K258*H258</x:f>
        <x:v>5.7528</x:v>
      </x:c>
    </x:row>
    <x:row r="259" ht="16.5" customHeight="1">
      <x:c r="A259" s="278" t="str">
        <x:v>SKU1402</x:v>
      </x:c>
      <x:c r="B259" s="279" t="str">
        <x:v>Product 1402</x:v>
      </x:c>
      <x:c r="C259" s="279" t="str">
        <x:v>Store A</x:v>
      </x:c>
      <x:c r="D259" s="279" t="str">
        <x:v>Supplier 24</x:v>
      </x:c>
      <x:c r="E259" s="280" t="n">
        <x:v>0</x:v>
      </x:c>
      <x:c r="F259" s="280" t="n">
        <x:v>3.3478</x:v>
      </x:c>
      <x:c r="G259" s="281" t="n">
        <x:v>21.4472</x:v>
      </x:c>
      <x:c r="H259" s="281" t="n">
        <x:v>0.1494</x:v>
      </x:c>
      <x:c r="I259" s="281" t="n">
        <x:f>F259*'Assumptions'!$B$7*(1+'Assumptions'!$B$9)</x:f>
        <x:v>8.03472</x:v>
      </x:c>
      <x:c r="J259" s="281" t="n">
        <x:f>F259*('Assumptions'!$B$7+'Assumptions'!$B$8)*(1+'Assumptions'!$B$9)</x:f>
        <x:v>24.10416</x:v>
      </x:c>
      <x:c r="K259" s="296" t="n">
        <x:f>MAX(0,ROUNDUP(J259-E259,0))</x:f>
        <x:v>25</x:v>
      </x:c>
      <x:c r="L259" s="298" t="n">
        <x:f>IF(F259=0,"",E259/F259)</x:f>
        <x:v>0</x:v>
      </x:c>
      <x:c r="M259" s="279" t="str">
        <x:f>IF(F259=0,IF(E259&gt;0,"No recent demand","No demand / no stock"),IF(E259&lt;=I259,"Order now",IF(L259&lt;='Assumptions'!$B$8,"Review soon","Sufficient stock")))</x:f>
        <x:v>Order now</x:v>
      </x:c>
      <x:c r="N259" s="300" t="n">
        <x:f>K259*H259</x:f>
        <x:v>3.7350000000000003</x:v>
      </x:c>
    </x:row>
    <x:row r="260" ht="16.5" customHeight="1">
      <x:c r="A260" s="290" t="str">
        <x:v>SKU1611</x:v>
      </x:c>
      <x:c r="B260" s="291" t="str">
        <x:v>Product 1611</x:v>
      </x:c>
      <x:c r="C260" s="291" t="str">
        <x:v>Store C</x:v>
      </x:c>
      <x:c r="D260" s="291" t="str">
        <x:v>Supplier 07</x:v>
      </x:c>
      <x:c r="E260" s="292" t="n">
        <x:v>6</x:v>
      </x:c>
      <x:c r="F260" s="292" t="n">
        <x:v>3.3478</x:v>
      </x:c>
      <x:c r="G260" s="293" t="n">
        <x:v>60.2414</x:v>
      </x:c>
      <x:c r="H260" s="293" t="n">
        <x:v>0.664</x:v>
      </x:c>
      <x:c r="I260" s="293" t="n">
        <x:f>F260*'Assumptions'!$B$7*(1+'Assumptions'!$B$9)</x:f>
        <x:v>8.03472</x:v>
      </x:c>
      <x:c r="J260" s="293" t="n">
        <x:f>F260*('Assumptions'!$B$7+'Assumptions'!$B$8)*(1+'Assumptions'!$B$9)</x:f>
        <x:v>24.10416</x:v>
      </x:c>
      <x:c r="K260" s="295" t="n">
        <x:f>MAX(0,ROUNDUP(J260-E260,0))</x:f>
        <x:v>19</x:v>
      </x:c>
      <x:c r="L260" s="297" t="n">
        <x:f>IF(F260=0,"",E260/F260)</x:f>
        <x:v>1.792221757572137</x:v>
      </x:c>
      <x:c r="M260" s="291" t="str">
        <x:f>IF(F260=0,IF(E260&gt;0,"No recent demand","No demand / no stock"),IF(E260&lt;=I260,"Order now",IF(L260&lt;='Assumptions'!$B$8,"Review soon","Sufficient stock")))</x:f>
        <x:v>Order now</x:v>
      </x:c>
      <x:c r="N260" s="299" t="n">
        <x:f>K260*H260</x:f>
        <x:v>12.616000000000001</x:v>
      </x:c>
    </x:row>
    <x:row r="261" ht="16.5" customHeight="1">
      <x:c r="A261" s="278" t="str">
        <x:v>SKU1788</x:v>
      </x:c>
      <x:c r="B261" s="279" t="str">
        <x:v>Product 1788</x:v>
      </x:c>
      <x:c r="C261" s="279" t="str">
        <x:v>Store A</x:v>
      </x:c>
      <x:c r="D261" s="279" t="str">
        <x:v>Supplier 42</x:v>
      </x:c>
      <x:c r="E261" s="280" t="n">
        <x:v>0</x:v>
      </x:c>
      <x:c r="F261" s="280" t="n">
        <x:v>3.3478</x:v>
      </x:c>
      <x:c r="G261" s="281" t="n">
        <x:v>51.46</x:v>
      </x:c>
      <x:c r="H261" s="281" t="n">
        <x:v>1.328</x:v>
      </x:c>
      <x:c r="I261" s="281" t="n">
        <x:f>F261*'Assumptions'!$B$7*(1+'Assumptions'!$B$9)</x:f>
        <x:v>8.03472</x:v>
      </x:c>
      <x:c r="J261" s="281" t="n">
        <x:f>F261*('Assumptions'!$B$7+'Assumptions'!$B$8)*(1+'Assumptions'!$B$9)</x:f>
        <x:v>24.10416</x:v>
      </x:c>
      <x:c r="K261" s="296" t="n">
        <x:f>MAX(0,ROUNDUP(J261-E261,0))</x:f>
        <x:v>25</x:v>
      </x:c>
      <x:c r="L261" s="298" t="n">
        <x:f>IF(F261=0,"",E261/F261)</x:f>
        <x:v>0</x:v>
      </x:c>
      <x:c r="M261" s="279" t="str">
        <x:f>IF(F261=0,IF(E261&gt;0,"No recent demand","No demand / no stock"),IF(E261&lt;=I261,"Order now",IF(L261&lt;='Assumptions'!$B$8,"Review soon","Sufficient stock")))</x:f>
        <x:v>Order now</x:v>
      </x:c>
      <x:c r="N261" s="300" t="n">
        <x:f>K261*H261</x:f>
        <x:v>33.2</x:v>
      </x:c>
    </x:row>
    <x:row r="262" ht="16.5" customHeight="1">
      <x:c r="A262" s="290" t="str">
        <x:v>SKU0087</x:v>
      </x:c>
      <x:c r="B262" s="291" t="str">
        <x:v>Product 0087</x:v>
      </x:c>
      <x:c r="C262" s="291" t="str">
        <x:v>Store C</x:v>
      </x:c>
      <x:c r="D262" s="291" t="str">
        <x:v>Supplier 68</x:v>
      </x:c>
      <x:c r="E262" s="292" t="n">
        <x:v>0</x:v>
      </x:c>
      <x:c r="F262" s="292" t="n">
        <x:v>3.2717</x:v>
      </x:c>
      <x:c r="G262" s="293" t="n">
        <x:v>39.259</x:v>
      </x:c>
      <x:c r="H262" s="293" t="n">
        <x:v>0.3735</x:v>
      </x:c>
      <x:c r="I262" s="293" t="n">
        <x:f>F262*'Assumptions'!$B$7*(1+'Assumptions'!$B$9)</x:f>
        <x:v>7.85208</x:v>
      </x:c>
      <x:c r="J262" s="293" t="n">
        <x:f>F262*('Assumptions'!$B$7+'Assumptions'!$B$8)*(1+'Assumptions'!$B$9)</x:f>
        <x:v>23.556240000000003</x:v>
      </x:c>
      <x:c r="K262" s="295" t="n">
        <x:f>MAX(0,ROUNDUP(J262-E262,0))</x:f>
        <x:v>24</x:v>
      </x:c>
      <x:c r="L262" s="297" t="n">
        <x:f>IF(F262=0,"",E262/F262)</x:f>
        <x:v>0</x:v>
      </x:c>
      <x:c r="M262" s="291" t="str">
        <x:f>IF(F262=0,IF(E262&gt;0,"No recent demand","No demand / no stock"),IF(E262&lt;=I262,"Order now",IF(L262&lt;='Assumptions'!$B$8,"Review soon","Sufficient stock")))</x:f>
        <x:v>Order now</x:v>
      </x:c>
      <x:c r="N262" s="299" t="n">
        <x:f>K262*H262</x:f>
        <x:v>8.964</x:v>
      </x:c>
    </x:row>
    <x:row r="263" ht="16.5" customHeight="1">
      <x:c r="A263" s="278" t="str">
        <x:v>SKU0145</x:v>
      </x:c>
      <x:c r="B263" s="279" t="str">
        <x:v>Product 0145</x:v>
      </x:c>
      <x:c r="C263" s="279" t="str">
        <x:v>Store A</x:v>
      </x:c>
      <x:c r="D263" s="279" t="str">
        <x:v>Supplier 68</x:v>
      </x:c>
      <x:c r="E263" s="280" t="n">
        <x:v>73</x:v>
      </x:c>
      <x:c r="F263" s="280" t="n">
        <x:v>3.2717</x:v>
      </x:c>
      <x:c r="G263" s="281" t="n">
        <x:v>15.7783</x:v>
      </x:c>
      <x:c r="H263" s="281" t="n">
        <x:v>0.1231</x:v>
      </x:c>
      <x:c r="I263" s="281" t="n">
        <x:f>F263*'Assumptions'!$B$7*(1+'Assumptions'!$B$9)</x:f>
        <x:v>7.85208</x:v>
      </x:c>
      <x:c r="J263" s="281" t="n">
        <x:f>F263*('Assumptions'!$B$7+'Assumptions'!$B$8)*(1+'Assumptions'!$B$9)</x:f>
        <x:v>23.556240000000003</x:v>
      </x:c>
      <x:c r="K263" s="296" t="n">
        <x:f>MAX(0,ROUNDUP(J263-E263,0))</x:f>
        <x:v>0</x:v>
      </x:c>
      <x:c r="L263" s="298" t="n">
        <x:f>IF(F263=0,"",E263/F263)</x:f>
        <x:v>22.31255921997738</x:v>
      </x:c>
      <x:c r="M263" s="279" t="str">
        <x:f>IF(F263=0,IF(E263&gt;0,"No recent demand","No demand / no stock"),IF(E263&lt;=I263,"Order now",IF(L263&lt;='Assumptions'!$B$8,"Review soon","Sufficient stock")))</x:f>
        <x:v>Sufficient stock</x:v>
      </x:c>
      <x:c r="N263" s="300" t="n">
        <x:f>K263*H263</x:f>
        <x:v>0</x:v>
      </x:c>
    </x:row>
    <x:row r="264" ht="16.5" customHeight="1">
      <x:c r="A264" s="290" t="str">
        <x:v>SKU0710</x:v>
      </x:c>
      <x:c r="B264" s="291" t="str">
        <x:v>Product 0710</x:v>
      </x:c>
      <x:c r="C264" s="291" t="str">
        <x:v>Store C</x:v>
      </x:c>
      <x:c r="D264" s="291" t="str">
        <x:v>Supplier 02</x:v>
      </x:c>
      <x:c r="E264" s="292" t="n">
        <x:v>32</x:v>
      </x:c>
      <x:c r="F264" s="292" t="n">
        <x:v>3.2717</x:v>
      </x:c>
      <x:c r="G264" s="293" t="n">
        <x:v>39.1677</x:v>
      </x:c>
      <x:c r="H264" s="293" t="n">
        <x:v>0.3154</x:v>
      </x:c>
      <x:c r="I264" s="293" t="n">
        <x:f>F264*'Assumptions'!$B$7*(1+'Assumptions'!$B$9)</x:f>
        <x:v>7.85208</x:v>
      </x:c>
      <x:c r="J264" s="293" t="n">
        <x:f>F264*('Assumptions'!$B$7+'Assumptions'!$B$8)*(1+'Assumptions'!$B$9)</x:f>
        <x:v>23.556240000000003</x:v>
      </x:c>
      <x:c r="K264" s="295" t="n">
        <x:f>MAX(0,ROUNDUP(J264-E264,0))</x:f>
        <x:v>0</x:v>
      </x:c>
      <x:c r="L264" s="297" t="n">
        <x:f>IF(F264=0,"",E264/F264)</x:f>
        <x:v>9.780847877250359</x:v>
      </x:c>
      <x:c r="M264" s="291" t="str">
        <x:f>IF(F264=0,IF(E264&gt;0,"No recent demand","No demand / no stock"),IF(E264&lt;=I264,"Order now",IF(L264&lt;='Assumptions'!$B$8,"Review soon","Sufficient stock")))</x:f>
        <x:v>Sufficient stock</x:v>
      </x:c>
      <x:c r="N264" s="299" t="n">
        <x:f>K264*H264</x:f>
        <x:v>0</x:v>
      </x:c>
    </x:row>
    <x:row r="265" ht="16.5" customHeight="1">
      <x:c r="A265" s="278" t="str">
        <x:v>SKU0892</x:v>
      </x:c>
      <x:c r="B265" s="279" t="str">
        <x:v>Product 0892</x:v>
      </x:c>
      <x:c r="C265" s="279" t="str">
        <x:v>Store B</x:v>
      </x:c>
      <x:c r="D265" s="279" t="str">
        <x:v>Supplier 02</x:v>
      </x:c>
      <x:c r="E265" s="280" t="n">
        <x:v>0</x:v>
      </x:c>
      <x:c r="F265" s="280" t="n">
        <x:v>3.2717</x:v>
      </x:c>
      <x:c r="G265" s="281" t="n">
        <x:v>56.1744</x:v>
      </x:c>
      <x:c r="H265" s="281" t="n">
        <x:v>0.3959</x:v>
      </x:c>
      <x:c r="I265" s="281" t="n">
        <x:f>F265*'Assumptions'!$B$7*(1+'Assumptions'!$B$9)</x:f>
        <x:v>7.85208</x:v>
      </x:c>
      <x:c r="J265" s="281" t="n">
        <x:f>F265*('Assumptions'!$B$7+'Assumptions'!$B$8)*(1+'Assumptions'!$B$9)</x:f>
        <x:v>23.556240000000003</x:v>
      </x:c>
      <x:c r="K265" s="296" t="n">
        <x:f>MAX(0,ROUNDUP(J265-E265,0))</x:f>
        <x:v>24</x:v>
      </x:c>
      <x:c r="L265" s="298" t="n">
        <x:f>IF(F265=0,"",E265/F265)</x:f>
        <x:v>0</x:v>
      </x:c>
      <x:c r="M265" s="279" t="str">
        <x:f>IF(F265=0,IF(E265&gt;0,"No recent demand","No demand / no stock"),IF(E265&lt;=I265,"Order now",IF(L265&lt;='Assumptions'!$B$8,"Review soon","Sufficient stock")))</x:f>
        <x:v>Order now</x:v>
      </x:c>
      <x:c r="N265" s="300" t="n">
        <x:f>K265*H265</x:f>
        <x:v>9.5016</x:v>
      </x:c>
    </x:row>
    <x:row r="266" ht="16.5" customHeight="1">
      <x:c r="A266" s="290" t="str">
        <x:v>SKU1298</x:v>
      </x:c>
      <x:c r="B266" s="291" t="str">
        <x:v>Product 1298</x:v>
      </x:c>
      <x:c r="C266" s="291" t="str">
        <x:v>Store C</x:v>
      </x:c>
      <x:c r="D266" s="291" t="str">
        <x:v>Supplier 06</x:v>
      </x:c>
      <x:c r="E266" s="292" t="n">
        <x:v>27</x:v>
      </x:c>
      <x:c r="F266" s="292" t="n">
        <x:v>3.2717</x:v>
      </x:c>
      <x:c r="G266" s="293" t="n">
        <x:v>135.3066</x:v>
      </x:c>
      <x:c r="H266" s="293" t="n">
        <x:v>0.9545</x:v>
      </x:c>
      <x:c r="I266" s="293" t="n">
        <x:f>F266*'Assumptions'!$B$7*(1+'Assumptions'!$B$9)</x:f>
        <x:v>7.85208</x:v>
      </x:c>
      <x:c r="J266" s="293" t="n">
        <x:f>F266*('Assumptions'!$B$7+'Assumptions'!$B$8)*(1+'Assumptions'!$B$9)</x:f>
        <x:v>23.556240000000003</x:v>
      </x:c>
      <x:c r="K266" s="295" t="n">
        <x:f>MAX(0,ROUNDUP(J266-E266,0))</x:f>
        <x:v>0</x:v>
      </x:c>
      <x:c r="L266" s="297" t="n">
        <x:f>IF(F266=0,"",E266/F266)</x:f>
        <x:v>8.25259039642999</x:v>
      </x:c>
      <x:c r="M266" s="291" t="str">
        <x:f>IF(F266=0,IF(E266&gt;0,"No recent demand","No demand / no stock"),IF(E266&lt;=I266,"Order now",IF(L266&lt;='Assumptions'!$B$8,"Review soon","Sufficient stock")))</x:f>
        <x:v>Sufficient stock</x:v>
      </x:c>
      <x:c r="N266" s="299" t="n">
        <x:f>K266*H266</x:f>
        <x:v>0</x:v>
      </x:c>
    </x:row>
    <x:row r="267" ht="16.5" customHeight="1">
      <x:c r="A267" s="278" t="str">
        <x:v>SKU1300</x:v>
      </x:c>
      <x:c r="B267" s="279" t="str">
        <x:v>Product 1300</x:v>
      </x:c>
      <x:c r="C267" s="279" t="str">
        <x:v>Store C</x:v>
      </x:c>
      <x:c r="D267" s="279" t="str">
        <x:v>Supplier 17</x:v>
      </x:c>
      <x:c r="E267" s="280" t="n">
        <x:v>4</x:v>
      </x:c>
      <x:c r="F267" s="280" t="n">
        <x:v>3.2717</x:v>
      </x:c>
      <x:c r="G267" s="281" t="n">
        <x:v>49.8498</x:v>
      </x:c>
      <x:c r="H267" s="281" t="n">
        <x:v>0.5395</x:v>
      </x:c>
      <x:c r="I267" s="281" t="n">
        <x:f>F267*'Assumptions'!$B$7*(1+'Assumptions'!$B$9)</x:f>
        <x:v>7.85208</x:v>
      </x:c>
      <x:c r="J267" s="281" t="n">
        <x:f>F267*('Assumptions'!$B$7+'Assumptions'!$B$8)*(1+'Assumptions'!$B$9)</x:f>
        <x:v>23.556240000000003</x:v>
      </x:c>
      <x:c r="K267" s="296" t="n">
        <x:f>MAX(0,ROUNDUP(J267-E267,0))</x:f>
        <x:v>20</x:v>
      </x:c>
      <x:c r="L267" s="298" t="n">
        <x:f>IF(F267=0,"",E267/F267)</x:f>
        <x:v>1.2226059846562949</x:v>
      </x:c>
      <x:c r="M267" s="279" t="str">
        <x:f>IF(F267=0,IF(E267&gt;0,"No recent demand","No demand / no stock"),IF(E267&lt;=I267,"Order now",IF(L267&lt;='Assumptions'!$B$8,"Review soon","Sufficient stock")))</x:f>
        <x:v>Order now</x:v>
      </x:c>
      <x:c r="N267" s="300" t="n">
        <x:f>K267*H267</x:f>
        <x:v>10.79</x:v>
      </x:c>
    </x:row>
    <x:row r="268" ht="16.5" customHeight="1">
      <x:c r="A268" s="290" t="str">
        <x:v>SKU1501</x:v>
      </x:c>
      <x:c r="B268" s="291" t="str">
        <x:v>Product 1501</x:v>
      </x:c>
      <x:c r="C268" s="291" t="str">
        <x:v>Store C</x:v>
      </x:c>
      <x:c r="D268" s="291" t="str">
        <x:v>Multiple suppliers</x:v>
      </x:c>
      <x:c r="E268" s="292" t="n">
        <x:v>29</x:v>
      </x:c>
      <x:c r="F268" s="292" t="n">
        <x:v>3.2717</x:v>
      </x:c>
      <x:c r="G268" s="293" t="n">
        <x:v>52.539</x:v>
      </x:c>
      <x:c r="H268" s="293" t="n">
        <x:v>0.4897</x:v>
      </x:c>
      <x:c r="I268" s="293" t="n">
        <x:f>F268*'Assumptions'!$B$7*(1+'Assumptions'!$B$9)</x:f>
        <x:v>7.85208</x:v>
      </x:c>
      <x:c r="J268" s="293" t="n">
        <x:f>F268*('Assumptions'!$B$7+'Assumptions'!$B$8)*(1+'Assumptions'!$B$9)</x:f>
        <x:v>23.556240000000003</x:v>
      </x:c>
      <x:c r="K268" s="295" t="n">
        <x:f>MAX(0,ROUNDUP(J268-E268,0))</x:f>
        <x:v>0</x:v>
      </x:c>
      <x:c r="L268" s="297" t="n">
        <x:f>IF(F268=0,"",E268/F268)</x:f>
        <x:v>8.863893388758138</x:v>
      </x:c>
      <x:c r="M268" s="291" t="str">
        <x:f>IF(F268=0,IF(E268&gt;0,"No recent demand","No demand / no stock"),IF(E268&lt;=I268,"Order now",IF(L268&lt;='Assumptions'!$B$8,"Review soon","Sufficient stock")))</x:f>
        <x:v>Sufficient stock</x:v>
      </x:c>
      <x:c r="N268" s="299" t="n">
        <x:f>K268*H268</x:f>
        <x:v>0</x:v>
      </x:c>
    </x:row>
    <x:row r="269" ht="16.5" customHeight="1">
      <x:c r="A269" s="278" t="str">
        <x:v>SKU0916</x:v>
      </x:c>
      <x:c r="B269" s="279" t="str">
        <x:v>Product 0916</x:v>
      </x:c>
      <x:c r="C269" s="279" t="str">
        <x:v>Store A</x:v>
      </x:c>
      <x:c r="D269" s="279" t="str">
        <x:v>Supplier 69</x:v>
      </x:c>
      <x:c r="E269" s="280" t="n">
        <x:v>8.497</x:v>
      </x:c>
      <x:c r="F269" s="280" t="n">
        <x:v>3.2677</x:v>
      </x:c>
      <x:c r="G269" s="281" t="n">
        <x:v>3.6022</x:v>
      </x:c>
      <x:c r="H269" s="281" t="n">
        <x:v>3.0272</x:v>
      </x:c>
      <x:c r="I269" s="281" t="n">
        <x:f>F269*'Assumptions'!$B$7*(1+'Assumptions'!$B$9)</x:f>
        <x:v>7.84248</x:v>
      </x:c>
      <x:c r="J269" s="281" t="n">
        <x:f>F269*('Assumptions'!$B$7+'Assumptions'!$B$8)*(1+'Assumptions'!$B$9)</x:f>
        <x:v>23.527440000000002</x:v>
      </x:c>
      <x:c r="K269" s="296" t="n">
        <x:f>MAX(0,ROUNDUP(J269-E269,0))</x:f>
        <x:v>16</x:v>
      </x:c>
      <x:c r="L269" s="298" t="n">
        <x:f>IF(F269=0,"",E269/F269)</x:f>
        <x:v>2.60029990513205</x:v>
      </x:c>
      <x:c r="M269" s="279" t="str">
        <x:f>IF(F269=0,IF(E269&gt;0,"No recent demand","No demand / no stock"),IF(E269&lt;=I269,"Order now",IF(L269&lt;='Assumptions'!$B$8,"Review soon","Sufficient stock")))</x:f>
        <x:v>Review soon</x:v>
      </x:c>
      <x:c r="N269" s="300" t="n">
        <x:f>K269*H269</x:f>
        <x:v>48.4352</x:v>
      </x:c>
    </x:row>
    <x:row r="270" ht="16.5" customHeight="1">
      <x:c r="A270" s="290" t="str">
        <x:v>SKU0228</x:v>
      </x:c>
      <x:c r="B270" s="291" t="str">
        <x:v>Product 0228</x:v>
      </x:c>
      <x:c r="C270" s="291" t="str">
        <x:v>Store A</x:v>
      </x:c>
      <x:c r="D270" s="291" t="str">
        <x:v>Multiple suppliers</x:v>
      </x:c>
      <x:c r="E270" s="292" t="n">
        <x:v>222</x:v>
      </x:c>
      <x:c r="F270" s="292" t="n">
        <x:v>3.1957</x:v>
      </x:c>
      <x:c r="G270" s="293" t="n">
        <x:v>11.2963</x:v>
      </x:c>
      <x:c r="H270" s="293" t="n">
        <x:v>0.0602</x:v>
      </x:c>
      <x:c r="I270" s="293" t="n">
        <x:f>F270*'Assumptions'!$B$7*(1+'Assumptions'!$B$9)</x:f>
        <x:v>7.66968</x:v>
      </x:c>
      <x:c r="J270" s="293" t="n">
        <x:f>F270*('Assumptions'!$B$7+'Assumptions'!$B$8)*(1+'Assumptions'!$B$9)</x:f>
        <x:v>23.00904</x:v>
      </x:c>
      <x:c r="K270" s="295" t="n">
        <x:f>MAX(0,ROUNDUP(J270-E270,0))</x:f>
        <x:v>0</x:v>
      </x:c>
      <x:c r="L270" s="297" t="n">
        <x:f>IF(F270=0,"",E270/F270)</x:f>
        <x:v>69.46834809274964</x:v>
      </x:c>
      <x:c r="M270" s="291" t="str">
        <x:f>IF(F270=0,IF(E270&gt;0,"No recent demand","No demand / no stock"),IF(E270&lt;=I270,"Order now",IF(L270&lt;='Assumptions'!$B$8,"Review soon","Sufficient stock")))</x:f>
        <x:v>Sufficient stock</x:v>
      </x:c>
      <x:c r="N270" s="299" t="n">
        <x:f>K270*H270</x:f>
        <x:v>0</x:v>
      </x:c>
    </x:row>
    <x:row r="271" ht="16.5" customHeight="1">
      <x:c r="A271" s="278" t="str">
        <x:v>SKU0232</x:v>
      </x:c>
      <x:c r="B271" s="279" t="str">
        <x:v>Product 0232</x:v>
      </x:c>
      <x:c r="C271" s="279" t="str">
        <x:v>Store A</x:v>
      </x:c>
      <x:c r="D271" s="279" t="str">
        <x:v>Supplier 02</x:v>
      </x:c>
      <x:c r="E271" s="280" t="n">
        <x:v>99</x:v>
      </x:c>
      <x:c r="F271" s="280" t="n">
        <x:v>3.1957</x:v>
      </x:c>
      <x:c r="G271" s="281" t="n">
        <x:v>27.4896</x:v>
      </x:c>
      <x:c r="H271" s="281" t="n">
        <x:v>0.1328</x:v>
      </x:c>
      <x:c r="I271" s="281" t="n">
        <x:f>F271*'Assumptions'!$B$7*(1+'Assumptions'!$B$9)</x:f>
        <x:v>7.66968</x:v>
      </x:c>
      <x:c r="J271" s="281" t="n">
        <x:f>F271*('Assumptions'!$B$7+'Assumptions'!$B$8)*(1+'Assumptions'!$B$9)</x:f>
        <x:v>23.00904</x:v>
      </x:c>
      <x:c r="K271" s="296" t="n">
        <x:f>MAX(0,ROUNDUP(J271-E271,0))</x:f>
        <x:v>0</x:v>
      </x:c>
      <x:c r="L271" s="298" t="n">
        <x:f>IF(F271=0,"",E271/F271)</x:f>
        <x:v>30.979128203523484</x:v>
      </x:c>
      <x:c r="M271" s="279" t="str">
        <x:f>IF(F271=0,IF(E271&gt;0,"No recent demand","No demand / no stock"),IF(E271&lt;=I271,"Order now",IF(L271&lt;='Assumptions'!$B$8,"Review soon","Sufficient stock")))</x:f>
        <x:v>Sufficient stock</x:v>
      </x:c>
      <x:c r="N271" s="300" t="n">
        <x:f>K271*H271</x:f>
        <x:v>0</x:v>
      </x:c>
    </x:row>
    <x:row r="272" ht="16.5" customHeight="1">
      <x:c r="A272" s="290" t="str">
        <x:v>SKU0474</x:v>
      </x:c>
      <x:c r="B272" s="291" t="str">
        <x:v>Product 0474</x:v>
      </x:c>
      <x:c r="C272" s="291" t="str">
        <x:v>Store B</x:v>
      </x:c>
      <x:c r="D272" s="291" t="str">
        <x:v>Supplier 59</x:v>
      </x:c>
      <x:c r="E272" s="292" t="n">
        <x:v>33</x:v>
      </x:c>
      <x:c r="F272" s="292" t="n">
        <x:v>3.1957</x:v>
      </x:c>
      <x:c r="G272" s="293" t="n">
        <x:v>17.264</x:v>
      </x:c>
      <x:c r="H272" s="293" t="n">
        <x:v>0.1826</x:v>
      </x:c>
      <x:c r="I272" s="293" t="n">
        <x:f>F272*'Assumptions'!$B$7*(1+'Assumptions'!$B$9)</x:f>
        <x:v>7.66968</x:v>
      </x:c>
      <x:c r="J272" s="293" t="n">
        <x:f>F272*('Assumptions'!$B$7+'Assumptions'!$B$8)*(1+'Assumptions'!$B$9)</x:f>
        <x:v>23.00904</x:v>
      </x:c>
      <x:c r="K272" s="295" t="n">
        <x:f>MAX(0,ROUNDUP(J272-E272,0))</x:f>
        <x:v>0</x:v>
      </x:c>
      <x:c r="L272" s="297" t="n">
        <x:f>IF(F272=0,"",E272/F272)</x:f>
        <x:v>10.326376067841162</x:v>
      </x:c>
      <x:c r="M272" s="291" t="str">
        <x:f>IF(F272=0,IF(E272&gt;0,"No recent demand","No demand / no stock"),IF(E272&lt;=I272,"Order now",IF(L272&lt;='Assumptions'!$B$8,"Review soon","Sufficient stock")))</x:f>
        <x:v>Sufficient stock</x:v>
      </x:c>
      <x:c r="N272" s="299" t="n">
        <x:f>K272*H272</x:f>
        <x:v>0</x:v>
      </x:c>
    </x:row>
    <x:row r="273" ht="16.5" customHeight="1">
      <x:c r="A273" s="278" t="str">
        <x:v>SKU0668</x:v>
      </x:c>
      <x:c r="B273" s="279" t="str">
        <x:v>Product 0668</x:v>
      </x:c>
      <x:c r="C273" s="279" t="str">
        <x:v>Store A</x:v>
      </x:c>
      <x:c r="D273" s="279" t="str">
        <x:v>Supplier 61</x:v>
      </x:c>
      <x:c r="E273" s="280" t="n">
        <x:v>17</x:v>
      </x:c>
      <x:c r="F273" s="280" t="n">
        <x:v>3.1957</x:v>
      </x:c>
      <x:c r="G273" s="281" t="n">
        <x:v>145.4077</x:v>
      </x:c>
      <x:c r="H273" s="281" t="n">
        <x:v>1.9123</x:v>
      </x:c>
      <x:c r="I273" s="281" t="n">
        <x:f>F273*'Assumptions'!$B$7*(1+'Assumptions'!$B$9)</x:f>
        <x:v>7.66968</x:v>
      </x:c>
      <x:c r="J273" s="281" t="n">
        <x:f>F273*('Assumptions'!$B$7+'Assumptions'!$B$8)*(1+'Assumptions'!$B$9)</x:f>
        <x:v>23.00904</x:v>
      </x:c>
      <x:c r="K273" s="296" t="n">
        <x:f>MAX(0,ROUNDUP(J273-E273,0))</x:f>
        <x:v>7</x:v>
      </x:c>
      <x:c r="L273" s="298" t="n">
        <x:f>IF(F273=0,"",E273/F273)</x:f>
        <x:v>5.319648277372719</x:v>
      </x:c>
      <x:c r="M273" s="279" t="str">
        <x:f>IF(F273=0,IF(E273&gt;0,"No recent demand","No demand / no stock"),IF(E273&lt;=I273,"Order now",IF(L273&lt;='Assumptions'!$B$8,"Review soon","Sufficient stock")))</x:f>
        <x:v>Sufficient stock</x:v>
      </x:c>
      <x:c r="N273" s="300" t="n">
        <x:f>K273*H273</x:f>
        <x:v>13.3861</x:v>
      </x:c>
    </x:row>
    <x:row r="274" ht="16.5" customHeight="1">
      <x:c r="A274" s="290" t="str">
        <x:v>SKU0679</x:v>
      </x:c>
      <x:c r="B274" s="291" t="str">
        <x:v>Product 0679</x:v>
      </x:c>
      <x:c r="C274" s="291" t="str">
        <x:v>Store C</x:v>
      </x:c>
      <x:c r="D274" s="291" t="str">
        <x:v>Supplier 02</x:v>
      </x:c>
      <x:c r="E274" s="292" t="n">
        <x:v>18</x:v>
      </x:c>
      <x:c r="F274" s="292" t="n">
        <x:v>3.1957</x:v>
      </x:c>
      <x:c r="G274" s="293" t="n">
        <x:v>52.1655</x:v>
      </x:c>
      <x:c r="H274" s="293" t="n">
        <x:v>0.498</x:v>
      </x:c>
      <x:c r="I274" s="293" t="n">
        <x:f>F274*'Assumptions'!$B$7*(1+'Assumptions'!$B$9)</x:f>
        <x:v>7.66968</x:v>
      </x:c>
      <x:c r="J274" s="293" t="n">
        <x:f>F274*('Assumptions'!$B$7+'Assumptions'!$B$8)*(1+'Assumptions'!$B$9)</x:f>
        <x:v>23.00904</x:v>
      </x:c>
      <x:c r="K274" s="295" t="n">
        <x:f>MAX(0,ROUNDUP(J274-E274,0))</x:f>
        <x:v>6</x:v>
      </x:c>
      <x:c r="L274" s="297" t="n">
        <x:f>IF(F274=0,"",E274/F274)</x:f>
        <x:v>5.632568764276997</x:v>
      </x:c>
      <x:c r="M274" s="291" t="str">
        <x:f>IF(F274=0,IF(E274&gt;0,"No recent demand","No demand / no stock"),IF(E274&lt;=I274,"Order now",IF(L274&lt;='Assumptions'!$B$8,"Review soon","Sufficient stock")))</x:f>
        <x:v>Sufficient stock</x:v>
      </x:c>
      <x:c r="N274" s="299" t="n">
        <x:f>K274*H274</x:f>
        <x:v>2.988</x:v>
      </x:c>
    </x:row>
    <x:row r="275" ht="16.5" customHeight="1">
      <x:c r="A275" s="278" t="str">
        <x:v>SKU0682</x:v>
      </x:c>
      <x:c r="B275" s="279" t="str">
        <x:v>Product 0682</x:v>
      </x:c>
      <x:c r="C275" s="279" t="str">
        <x:v>Store C</x:v>
      </x:c>
      <x:c r="D275" s="279" t="str">
        <x:v>Supplier 66</x:v>
      </x:c>
      <x:c r="E275" s="280" t="n">
        <x:v>22</x:v>
      </x:c>
      <x:c r="F275" s="280" t="n">
        <x:v>3.1957</x:v>
      </x:c>
      <x:c r="G275" s="281" t="n">
        <x:v>20.833</x:v>
      </x:c>
      <x:c r="H275" s="281" t="n">
        <x:v>0.3154</x:v>
      </x:c>
      <x:c r="I275" s="281" t="n">
        <x:f>F275*'Assumptions'!$B$7*(1+'Assumptions'!$B$9)</x:f>
        <x:v>7.66968</x:v>
      </x:c>
      <x:c r="J275" s="281" t="n">
        <x:f>F275*('Assumptions'!$B$7+'Assumptions'!$B$8)*(1+'Assumptions'!$B$9)</x:f>
        <x:v>23.00904</x:v>
      </x:c>
      <x:c r="K275" s="296" t="n">
        <x:f>MAX(0,ROUNDUP(J275-E275,0))</x:f>
        <x:v>2</x:v>
      </x:c>
      <x:c r="L275" s="298" t="n">
        <x:f>IF(F275=0,"",E275/F275)</x:f>
        <x:v>6.884250711894108</x:v>
      </x:c>
      <x:c r="M275" s="279" t="str">
        <x:f>IF(F275=0,IF(E275&gt;0,"No recent demand","No demand / no stock"),IF(E275&lt;=I275,"Order now",IF(L275&lt;='Assumptions'!$B$8,"Review soon","Sufficient stock")))</x:f>
        <x:v>Sufficient stock</x:v>
      </x:c>
      <x:c r="N275" s="300" t="n">
        <x:f>K275*H275</x:f>
        <x:v>0.6308</x:v>
      </x:c>
    </x:row>
    <x:row r="276" ht="16.5" customHeight="1">
      <x:c r="A276" s="290" t="str">
        <x:v>SKU0899</x:v>
      </x:c>
      <x:c r="B276" s="291" t="str">
        <x:v>Product 0899</x:v>
      </x:c>
      <x:c r="C276" s="291" t="str">
        <x:v>Store C</x:v>
      </x:c>
      <x:c r="D276" s="291" t="str">
        <x:v>Supplier 02</x:v>
      </x:c>
      <x:c r="E276" s="292" t="n">
        <x:v>22</x:v>
      </x:c>
      <x:c r="F276" s="292" t="n">
        <x:v>3.1957</x:v>
      </x:c>
      <x:c r="G276" s="293" t="n">
        <x:v>20.5674</x:v>
      </x:c>
      <x:c r="H276" s="293" t="n">
        <x:v>0.1577</x:v>
      </x:c>
      <x:c r="I276" s="293" t="n">
        <x:f>F276*'Assumptions'!$B$7*(1+'Assumptions'!$B$9)</x:f>
        <x:v>7.66968</x:v>
      </x:c>
      <x:c r="J276" s="293" t="n">
        <x:f>F276*('Assumptions'!$B$7+'Assumptions'!$B$8)*(1+'Assumptions'!$B$9)</x:f>
        <x:v>23.00904</x:v>
      </x:c>
      <x:c r="K276" s="295" t="n">
        <x:f>MAX(0,ROUNDUP(J276-E276,0))</x:f>
        <x:v>2</x:v>
      </x:c>
      <x:c r="L276" s="297" t="n">
        <x:f>IF(F276=0,"",E276/F276)</x:f>
        <x:v>6.884250711894108</x:v>
      </x:c>
      <x:c r="M276" s="291" t="str">
        <x:f>IF(F276=0,IF(E276&gt;0,"No recent demand","No demand / no stock"),IF(E276&lt;=I276,"Order now",IF(L276&lt;='Assumptions'!$B$8,"Review soon","Sufficient stock")))</x:f>
        <x:v>Sufficient stock</x:v>
      </x:c>
      <x:c r="N276" s="299" t="n">
        <x:f>K276*H276</x:f>
        <x:v>0.3154</x:v>
      </x:c>
    </x:row>
    <x:row r="277" ht="16.5" customHeight="1">
      <x:c r="A277" s="278" t="str">
        <x:v>SKU1034</x:v>
      </x:c>
      <x:c r="B277" s="279" t="str">
        <x:v>Product 1034</x:v>
      </x:c>
      <x:c r="C277" s="279" t="str">
        <x:v>Store A</x:v>
      </x:c>
      <x:c r="D277" s="279" t="str">
        <x:v>Supplier 19</x:v>
      </x:c>
      <x:c r="E277" s="280" t="n">
        <x:v>8</x:v>
      </x:c>
      <x:c r="F277" s="280" t="n">
        <x:v>3.1957</x:v>
      </x:c>
      <x:c r="G277" s="281" t="n">
        <x:v>21.8622</x:v>
      </x:c>
      <x:c r="H277" s="281" t="n">
        <x:v>0.2656</x:v>
      </x:c>
      <x:c r="I277" s="281" t="n">
        <x:f>F277*'Assumptions'!$B$7*(1+'Assumptions'!$B$9)</x:f>
        <x:v>7.66968</x:v>
      </x:c>
      <x:c r="J277" s="281" t="n">
        <x:f>F277*('Assumptions'!$B$7+'Assumptions'!$B$8)*(1+'Assumptions'!$B$9)</x:f>
        <x:v>23.00904</x:v>
      </x:c>
      <x:c r="K277" s="296" t="n">
        <x:f>MAX(0,ROUNDUP(J277-E277,0))</x:f>
        <x:v>16</x:v>
      </x:c>
      <x:c r="L277" s="298" t="n">
        <x:f>IF(F277=0,"",E277/F277)</x:f>
        <x:v>2.503363895234221</x:v>
      </x:c>
      <x:c r="M277" s="279" t="str">
        <x:f>IF(F277=0,IF(E277&gt;0,"No recent demand","No demand / no stock"),IF(E277&lt;=I277,"Order now",IF(L277&lt;='Assumptions'!$B$8,"Review soon","Sufficient stock")))</x:f>
        <x:v>Review soon</x:v>
      </x:c>
      <x:c r="N277" s="300" t="n">
        <x:f>K277*H277</x:f>
        <x:v>4.2496</x:v>
      </x:c>
    </x:row>
    <x:row r="278" ht="16.5" customHeight="1">
      <x:c r="A278" s="290" t="str">
        <x:v>SKU1051</x:v>
      </x:c>
      <x:c r="B278" s="291" t="str">
        <x:v>Product 1051</x:v>
      </x:c>
      <x:c r="C278" s="291" t="str">
        <x:v>Store A</x:v>
      </x:c>
      <x:c r="D278" s="291" t="str">
        <x:v>Supplier 05</x:v>
      </x:c>
      <x:c r="E278" s="292" t="n">
        <x:v>-2</x:v>
      </x:c>
      <x:c r="F278" s="292" t="n">
        <x:v>3.1957</x:v>
      </x:c>
      <x:c r="G278" s="293" t="n">
        <x:v>54.9792</x:v>
      </x:c>
      <x:c r="H278" s="293" t="n">
        <x:v>0.4401</x:v>
      </x:c>
      <x:c r="I278" s="293" t="n">
        <x:f>F278*'Assumptions'!$B$7*(1+'Assumptions'!$B$9)</x:f>
        <x:v>7.66968</x:v>
      </x:c>
      <x:c r="J278" s="293" t="n">
        <x:f>F278*('Assumptions'!$B$7+'Assumptions'!$B$8)*(1+'Assumptions'!$B$9)</x:f>
        <x:v>23.00904</x:v>
      </x:c>
      <x:c r="K278" s="295" t="n">
        <x:f>MAX(0,ROUNDUP(J278-E278,0))</x:f>
        <x:v>26</x:v>
      </x:c>
      <x:c r="L278" s="297" t="n">
        <x:f>IF(F278=0,"",E278/F278)</x:f>
        <x:v>-0.6258409738085553</x:v>
      </x:c>
      <x:c r="M278" s="291" t="str">
        <x:f>IF(F278=0,IF(E278&gt;0,"No recent demand","No demand / no stock"),IF(E278&lt;=I278,"Order now",IF(L278&lt;='Assumptions'!$B$8,"Review soon","Sufficient stock")))</x:f>
        <x:v>Order now</x:v>
      </x:c>
      <x:c r="N278" s="299" t="n">
        <x:f>K278*H278</x:f>
        <x:v>11.4426</x:v>
      </x:c>
    </x:row>
    <x:row r="279" ht="16.5" customHeight="1">
      <x:c r="A279" s="278" t="str">
        <x:v>SKU1322</x:v>
      </x:c>
      <x:c r="B279" s="279" t="str">
        <x:v>Product 1322</x:v>
      </x:c>
      <x:c r="C279" s="279" t="str">
        <x:v>Store C</x:v>
      </x:c>
      <x:c r="D279" s="279" t="str">
        <x:v>Supplier 03</x:v>
      </x:c>
      <x:c r="E279" s="280" t="n">
        <x:v>0</x:v>
      </x:c>
      <x:c r="F279" s="280" t="n">
        <x:v>3.1957</x:v>
      </x:c>
      <x:c r="G279" s="281" t="n">
        <x:v>58.8387</x:v>
      </x:c>
      <x:c r="H279" s="281" t="n">
        <x:v>0</x:v>
      </x:c>
      <x:c r="I279" s="281" t="n">
        <x:f>F279*'Assumptions'!$B$7*(1+'Assumptions'!$B$9)</x:f>
        <x:v>7.66968</x:v>
      </x:c>
      <x:c r="J279" s="281" t="n">
        <x:f>F279*('Assumptions'!$B$7+'Assumptions'!$B$8)*(1+'Assumptions'!$B$9)</x:f>
        <x:v>23.00904</x:v>
      </x:c>
      <x:c r="K279" s="296" t="n">
        <x:f>MAX(0,ROUNDUP(J279-E279,0))</x:f>
        <x:v>24</x:v>
      </x:c>
      <x:c r="L279" s="298" t="n">
        <x:f>IF(F279=0,"",E279/F279)</x:f>
        <x:v>0</x:v>
      </x:c>
      <x:c r="M279" s="279" t="str">
        <x:f>IF(F279=0,IF(E279&gt;0,"No recent demand","No demand / no stock"),IF(E279&lt;=I279,"Order now",IF(L279&lt;='Assumptions'!$B$8,"Review soon","Sufficient stock")))</x:f>
        <x:v>Order now</x:v>
      </x:c>
      <x:c r="N279" s="300" t="n">
        <x:f>K279*H279</x:f>
        <x:v>0</x:v>
      </x:c>
    </x:row>
    <x:row r="280" ht="16.5" customHeight="1">
      <x:c r="A280" s="290" t="str">
        <x:v>SKU1559</x:v>
      </x:c>
      <x:c r="B280" s="291" t="str">
        <x:v>Product 1559</x:v>
      </x:c>
      <x:c r="C280" s="291" t="str">
        <x:v>Store B</x:v>
      </x:c>
      <x:c r="D280" s="291" t="str">
        <x:v>Supplier 24</x:v>
      </x:c>
      <x:c r="E280" s="292" t="n">
        <x:v>16</x:v>
      </x:c>
      <x:c r="F280" s="292" t="n">
        <x:v>3.1957</x:v>
      </x:c>
      <x:c r="G280" s="293" t="n">
        <x:v>32.7186</x:v>
      </x:c>
      <x:c r="H280" s="293" t="n">
        <x:v>0.3818</x:v>
      </x:c>
      <x:c r="I280" s="293" t="n">
        <x:f>F280*'Assumptions'!$B$7*(1+'Assumptions'!$B$9)</x:f>
        <x:v>7.66968</x:v>
      </x:c>
      <x:c r="J280" s="293" t="n">
        <x:f>F280*('Assumptions'!$B$7+'Assumptions'!$B$8)*(1+'Assumptions'!$B$9)</x:f>
        <x:v>23.00904</x:v>
      </x:c>
      <x:c r="K280" s="295" t="n">
        <x:f>MAX(0,ROUNDUP(J280-E280,0))</x:f>
        <x:v>8</x:v>
      </x:c>
      <x:c r="L280" s="297" t="n">
        <x:f>IF(F280=0,"",E280/F280)</x:f>
        <x:v>5.006727790468442</x:v>
      </x:c>
      <x:c r="M280" s="291" t="str">
        <x:f>IF(F280=0,IF(E280&gt;0,"No recent demand","No demand / no stock"),IF(E280&lt;=I280,"Order now",IF(L280&lt;='Assumptions'!$B$8,"Review soon","Sufficient stock")))</x:f>
        <x:v>Sufficient stock</x:v>
      </x:c>
      <x:c r="N280" s="299" t="n">
        <x:f>K280*H280</x:f>
        <x:v>3.0544</x:v>
      </x:c>
    </x:row>
    <x:row r="281" ht="16.5" customHeight="1">
      <x:c r="A281" s="278" t="str">
        <x:v>SKU0147</x:v>
      </x:c>
      <x:c r="B281" s="279" t="str">
        <x:v>Product 0147</x:v>
      </x:c>
      <x:c r="C281" s="279" t="str">
        <x:v>Store C</x:v>
      </x:c>
      <x:c r="D281" s="279" t="str">
        <x:v>Supplier 68</x:v>
      </x:c>
      <x:c r="E281" s="280" t="n">
        <x:v>24</x:v>
      </x:c>
      <x:c r="F281" s="280" t="n">
        <x:v>3.1196</x:v>
      </x:c>
      <x:c r="G281" s="281" t="n">
        <x:v>36.2129</x:v>
      </x:c>
      <x:c r="H281" s="281" t="n">
        <x:v>0.3403</x:v>
      </x:c>
      <x:c r="I281" s="281" t="n">
        <x:f>F281*'Assumptions'!$B$7*(1+'Assumptions'!$B$9)</x:f>
        <x:v>7.48704</x:v>
      </x:c>
      <x:c r="J281" s="281" t="n">
        <x:f>F281*('Assumptions'!$B$7+'Assumptions'!$B$8)*(1+'Assumptions'!$B$9)</x:f>
        <x:v>22.46112</x:v>
      </x:c>
      <x:c r="K281" s="296" t="n">
        <x:f>MAX(0,ROUNDUP(J281-E281,0))</x:f>
        <x:v>0</x:v>
      </x:c>
      <x:c r="L281" s="298" t="n">
        <x:f>IF(F281=0,"",E281/F281)</x:f>
        <x:v>7.693294012052827</x:v>
      </x:c>
      <x:c r="M281" s="279" t="str">
        <x:f>IF(F281=0,IF(E281&gt;0,"No recent demand","No demand / no stock"),IF(E281&lt;=I281,"Order now",IF(L281&lt;='Assumptions'!$B$8,"Review soon","Sufficient stock")))</x:f>
        <x:v>Sufficient stock</x:v>
      </x:c>
      <x:c r="N281" s="300" t="n">
        <x:f>K281*H281</x:f>
        <x:v>0</x:v>
      </x:c>
    </x:row>
    <x:row r="282" ht="16.5" customHeight="1">
      <x:c r="A282" s="290" t="str">
        <x:v>SKU0155</x:v>
      </x:c>
      <x:c r="B282" s="291" t="str">
        <x:v>Product 0155</x:v>
      </x:c>
      <x:c r="C282" s="291" t="str">
        <x:v>Store C</x:v>
      </x:c>
      <x:c r="D282" s="291" t="str">
        <x:v>Supplier 66</x:v>
      </x:c>
      <x:c r="E282" s="292" t="n">
        <x:v>27</x:v>
      </x:c>
      <x:c r="F282" s="292" t="n">
        <x:v>3.1196</x:v>
      </x:c>
      <x:c r="G282" s="293" t="n">
        <x:v>48.638</x:v>
      </x:c>
      <x:c r="H282" s="293" t="n">
        <x:v>0.332</x:v>
      </x:c>
      <x:c r="I282" s="293" t="n">
        <x:f>F282*'Assumptions'!$B$7*(1+'Assumptions'!$B$9)</x:f>
        <x:v>7.48704</x:v>
      </x:c>
      <x:c r="J282" s="293" t="n">
        <x:f>F282*('Assumptions'!$B$7+'Assumptions'!$B$8)*(1+'Assumptions'!$B$9)</x:f>
        <x:v>22.46112</x:v>
      </x:c>
      <x:c r="K282" s="295" t="n">
        <x:f>MAX(0,ROUNDUP(J282-E282,0))</x:f>
        <x:v>0</x:v>
      </x:c>
      <x:c r="L282" s="297" t="n">
        <x:f>IF(F282=0,"",E282/F282)</x:f>
        <x:v>8.65495576355943</x:v>
      </x:c>
      <x:c r="M282" s="291" t="str">
        <x:f>IF(F282=0,IF(E282&gt;0,"No recent demand","No demand / no stock"),IF(E282&lt;=I282,"Order now",IF(L282&lt;='Assumptions'!$B$8,"Review soon","Sufficient stock")))</x:f>
        <x:v>Sufficient stock</x:v>
      </x:c>
      <x:c r="N282" s="299" t="n">
        <x:f>K282*H282</x:f>
        <x:v>0</x:v>
      </x:c>
    </x:row>
    <x:row r="283" ht="16.5" customHeight="1">
      <x:c r="A283" s="278" t="str">
        <x:v>SKU0659</x:v>
      </x:c>
      <x:c r="B283" s="279" t="str">
        <x:v>Product 0659</x:v>
      </x:c>
      <x:c r="C283" s="279" t="str">
        <x:v>Store A</x:v>
      </x:c>
      <x:c r="D283" s="279" t="str">
        <x:v>Supplier 16</x:v>
      </x:c>
      <x:c r="E283" s="280" t="n">
        <x:v>5</x:v>
      </x:c>
      <x:c r="F283" s="280" t="n">
        <x:v>3.1196</x:v>
      </x:c>
      <x:c r="G283" s="281" t="n">
        <x:v>33.034</x:v>
      </x:c>
      <x:c r="H283" s="281" t="n">
        <x:v>0.2716</x:v>
      </x:c>
      <x:c r="I283" s="281" t="n">
        <x:f>F283*'Assumptions'!$B$7*(1+'Assumptions'!$B$9)</x:f>
        <x:v>7.48704</x:v>
      </x:c>
      <x:c r="J283" s="281" t="n">
        <x:f>F283*('Assumptions'!$B$7+'Assumptions'!$B$8)*(1+'Assumptions'!$B$9)</x:f>
        <x:v>22.46112</x:v>
      </x:c>
      <x:c r="K283" s="296" t="n">
        <x:f>MAX(0,ROUNDUP(J283-E283,0))</x:f>
        <x:v>18</x:v>
      </x:c>
      <x:c r="L283" s="298" t="n">
        <x:f>IF(F283=0,"",E283/F283)</x:f>
        <x:v>1.602769585844339</x:v>
      </x:c>
      <x:c r="M283" s="279" t="str">
        <x:f>IF(F283=0,IF(E283&gt;0,"No recent demand","No demand / no stock"),IF(E283&lt;=I283,"Order now",IF(L283&lt;='Assumptions'!$B$8,"Review soon","Sufficient stock")))</x:f>
        <x:v>Order now</x:v>
      </x:c>
      <x:c r="N283" s="300" t="n">
        <x:f>K283*H283</x:f>
        <x:v>4.8888</x:v>
      </x:c>
    </x:row>
    <x:row r="284" ht="16.5" customHeight="1">
      <x:c r="A284" s="290" t="str">
        <x:v>SKU1098</x:v>
      </x:c>
      <x:c r="B284" s="291" t="str">
        <x:v>Product 1098</x:v>
      </x:c>
      <x:c r="C284" s="291" t="str">
        <x:v>Store B</x:v>
      </x:c>
      <x:c r="D284" s="291" t="str">
        <x:v>Supplier 09</x:v>
      </x:c>
      <x:c r="E284" s="292" t="n">
        <x:v>0</x:v>
      </x:c>
      <x:c r="F284" s="292" t="n">
        <x:v>3.1196</x:v>
      </x:c>
      <x:c r="G284" s="293" t="n">
        <x:v>53.2528</x:v>
      </x:c>
      <x:c r="H284" s="293" t="n">
        <x:v>0</x:v>
      </x:c>
      <x:c r="I284" s="293" t="n">
        <x:f>F284*'Assumptions'!$B$7*(1+'Assumptions'!$B$9)</x:f>
        <x:v>7.48704</x:v>
      </x:c>
      <x:c r="J284" s="293" t="n">
        <x:f>F284*('Assumptions'!$B$7+'Assumptions'!$B$8)*(1+'Assumptions'!$B$9)</x:f>
        <x:v>22.46112</x:v>
      </x:c>
      <x:c r="K284" s="295" t="n">
        <x:f>MAX(0,ROUNDUP(J284-E284,0))</x:f>
        <x:v>23</x:v>
      </x:c>
      <x:c r="L284" s="297" t="n">
        <x:f>IF(F284=0,"",E284/F284)</x:f>
        <x:v>0</x:v>
      </x:c>
      <x:c r="M284" s="291" t="str">
        <x:f>IF(F284=0,IF(E284&gt;0,"No recent demand","No demand / no stock"),IF(E284&lt;=I284,"Order now",IF(L284&lt;='Assumptions'!$B$8,"Review soon","Sufficient stock")))</x:f>
        <x:v>Order now</x:v>
      </x:c>
      <x:c r="N284" s="299" t="n">
        <x:f>K284*H284</x:f>
        <x:v>0</x:v>
      </x:c>
    </x:row>
    <x:row r="285" ht="16.5" customHeight="1">
      <x:c r="A285" s="278" t="str">
        <x:v>SKU1229</x:v>
      </x:c>
      <x:c r="B285" s="279" t="str">
        <x:v>Product 1229</x:v>
      </x:c>
      <x:c r="C285" s="279" t="str">
        <x:v>Store A</x:v>
      </x:c>
      <x:c r="D285" s="279" t="str">
        <x:v>Supplier 19</x:v>
      </x:c>
      <x:c r="E285" s="280" t="n">
        <x:v>109</x:v>
      </x:c>
      <x:c r="F285" s="280" t="n">
        <x:v>3.1196</x:v>
      </x:c>
      <x:c r="G285" s="281" t="n">
        <x:v>8.2419</x:v>
      </x:c>
      <x:c r="H285" s="281" t="n">
        <x:v>0.0498</x:v>
      </x:c>
      <x:c r="I285" s="281" t="n">
        <x:f>F285*'Assumptions'!$B$7*(1+'Assumptions'!$B$9)</x:f>
        <x:v>7.48704</x:v>
      </x:c>
      <x:c r="J285" s="281" t="n">
        <x:f>F285*('Assumptions'!$B$7+'Assumptions'!$B$8)*(1+'Assumptions'!$B$9)</x:f>
        <x:v>22.46112</x:v>
      </x:c>
      <x:c r="K285" s="296" t="n">
        <x:f>MAX(0,ROUNDUP(J285-E285,0))</x:f>
        <x:v>0</x:v>
      </x:c>
      <x:c r="L285" s="298" t="n">
        <x:f>IF(F285=0,"",E285/F285)</x:f>
        <x:v>34.940376971406586</x:v>
      </x:c>
      <x:c r="M285" s="279" t="str">
        <x:f>IF(F285=0,IF(E285&gt;0,"No recent demand","No demand / no stock"),IF(E285&lt;=I285,"Order now",IF(L285&lt;='Assumptions'!$B$8,"Review soon","Sufficient stock")))</x:f>
        <x:v>Sufficient stock</x:v>
      </x:c>
      <x:c r="N285" s="300" t="n">
        <x:f>K285*H285</x:f>
        <x:v>0</x:v>
      </x:c>
    </x:row>
    <x:row r="286" ht="16.5" customHeight="1">
      <x:c r="A286" s="290" t="str">
        <x:v>SKU1789</x:v>
      </x:c>
      <x:c r="B286" s="291" t="str">
        <x:v>Product 1789</x:v>
      </x:c>
      <x:c r="C286" s="291" t="str">
        <x:v>Store A</x:v>
      </x:c>
      <x:c r="D286" s="291" t="str">
        <x:v>Supplier 42</x:v>
      </x:c>
      <x:c r="E286" s="292" t="n">
        <x:v>0</x:v>
      </x:c>
      <x:c r="F286" s="292" t="n">
        <x:v>3.1196</x:v>
      </x:c>
      <x:c r="G286" s="293" t="n">
        <x:v>53.867</x:v>
      </x:c>
      <x:c r="H286" s="293" t="n">
        <x:v>1.328</x:v>
      </x:c>
      <x:c r="I286" s="293" t="n">
        <x:f>F286*'Assumptions'!$B$7*(1+'Assumptions'!$B$9)</x:f>
        <x:v>7.48704</x:v>
      </x:c>
      <x:c r="J286" s="293" t="n">
        <x:f>F286*('Assumptions'!$B$7+'Assumptions'!$B$8)*(1+'Assumptions'!$B$9)</x:f>
        <x:v>22.46112</x:v>
      </x:c>
      <x:c r="K286" s="295" t="n">
        <x:f>MAX(0,ROUNDUP(J286-E286,0))</x:f>
        <x:v>23</x:v>
      </x:c>
      <x:c r="L286" s="297" t="n">
        <x:f>IF(F286=0,"",E286/F286)</x:f>
        <x:v>0</x:v>
      </x:c>
      <x:c r="M286" s="291" t="str">
        <x:f>IF(F286=0,IF(E286&gt;0,"No recent demand","No demand / no stock"),IF(E286&lt;=I286,"Order now",IF(L286&lt;='Assumptions'!$B$8,"Review soon","Sufficient stock")))</x:f>
        <x:v>Order now</x:v>
      </x:c>
      <x:c r="N286" s="299" t="n">
        <x:f>K286*H286</x:f>
        <x:v>30.544</x:v>
      </x:c>
    </x:row>
    <x:row r="287" ht="16.5" customHeight="1">
      <x:c r="A287" s="278" t="str">
        <x:v>SKU0152</x:v>
      </x:c>
      <x:c r="B287" s="279" t="str">
        <x:v>Product 0152</x:v>
      </x:c>
      <x:c r="C287" s="279" t="str">
        <x:v>Store C</x:v>
      </x:c>
      <x:c r="D287" s="279" t="str">
        <x:v>Supplier 68</x:v>
      </x:c>
      <x:c r="E287" s="280" t="n">
        <x:v>33</x:v>
      </x:c>
      <x:c r="F287" s="280" t="n">
        <x:v>3.0435</x:v>
      </x:c>
      <x:c r="G287" s="281" t="n">
        <x:v>14.8985</x:v>
      </x:c>
      <x:c r="H287" s="281" t="n">
        <x:v>0.1231</x:v>
      </x:c>
      <x:c r="I287" s="281" t="n">
        <x:f>F287*'Assumptions'!$B$7*(1+'Assumptions'!$B$9)</x:f>
        <x:v>7.304399999999999</x:v>
      </x:c>
      <x:c r="J287" s="281" t="n">
        <x:f>F287*('Assumptions'!$B$7+'Assumptions'!$B$8)*(1+'Assumptions'!$B$9)</x:f>
        <x:v>21.9132</x:v>
      </x:c>
      <x:c r="K287" s="296" t="n">
        <x:f>MAX(0,ROUNDUP(J287-E287,0))</x:f>
        <x:v>0</x:v>
      </x:c>
      <x:c r="L287" s="298" t="n">
        <x:f>IF(F287=0,"",E287/F287)</x:f>
        <x:v>10.842779694430755</x:v>
      </x:c>
      <x:c r="M287" s="279" t="str">
        <x:f>IF(F287=0,IF(E287&gt;0,"No recent demand","No demand / no stock"),IF(E287&lt;=I287,"Order now",IF(L287&lt;='Assumptions'!$B$8,"Review soon","Sufficient stock")))</x:f>
        <x:v>Sufficient stock</x:v>
      </x:c>
      <x:c r="N287" s="300" t="n">
        <x:f>K287*H287</x:f>
        <x:v>0</x:v>
      </x:c>
    </x:row>
    <x:row r="288" ht="16.5" customHeight="1">
      <x:c r="A288" s="290" t="str">
        <x:v>SKU1197</x:v>
      </x:c>
      <x:c r="B288" s="291" t="str">
        <x:v>Product 1197</x:v>
      </x:c>
      <x:c r="C288" s="291" t="str">
        <x:v>Store C</x:v>
      </x:c>
      <x:c r="D288" s="291" t="str">
        <x:v>Supplier 43</x:v>
      </x:c>
      <x:c r="E288" s="292" t="n">
        <x:v>0</x:v>
      </x:c>
      <x:c r="F288" s="292" t="n">
        <x:v>3.0435</x:v>
      </x:c>
      <x:c r="G288" s="293" t="n">
        <x:v>79.68</x:v>
      </x:c>
      <x:c r="H288" s="293" t="n">
        <x:v>0.9469</x:v>
      </x:c>
      <x:c r="I288" s="293" t="n">
        <x:f>F288*'Assumptions'!$B$7*(1+'Assumptions'!$B$9)</x:f>
        <x:v>7.304399999999999</x:v>
      </x:c>
      <x:c r="J288" s="293" t="n">
        <x:f>F288*('Assumptions'!$B$7+'Assumptions'!$B$8)*(1+'Assumptions'!$B$9)</x:f>
        <x:v>21.9132</x:v>
      </x:c>
      <x:c r="K288" s="295" t="n">
        <x:f>MAX(0,ROUNDUP(J288-E288,0))</x:f>
        <x:v>22</x:v>
      </x:c>
      <x:c r="L288" s="297" t="n">
        <x:f>IF(F288=0,"",E288/F288)</x:f>
        <x:v>0</x:v>
      </x:c>
      <x:c r="M288" s="291" t="str">
        <x:f>IF(F288=0,IF(E288&gt;0,"No recent demand","No demand / no stock"),IF(E288&lt;=I288,"Order now",IF(L288&lt;='Assumptions'!$B$8,"Review soon","Sufficient stock")))</x:f>
        <x:v>Order now</x:v>
      </x:c>
      <x:c r="N288" s="299" t="n">
        <x:f>K288*H288</x:f>
        <x:v>20.831799999999998</x:v>
      </x:c>
    </x:row>
    <x:row r="289" ht="16.5" customHeight="1">
      <x:c r="A289" s="278" t="str">
        <x:v>SKU1321</x:v>
      </x:c>
      <x:c r="B289" s="279" t="str">
        <x:v>Product 1321</x:v>
      </x:c>
      <x:c r="C289" s="279" t="str">
        <x:v>Store C</x:v>
      </x:c>
      <x:c r="D289" s="279" t="str">
        <x:v>Supplier 03</x:v>
      </x:c>
      <x:c r="E289" s="280" t="n">
        <x:v>0</x:v>
      </x:c>
      <x:c r="F289" s="280" t="n">
        <x:v>3.0435</x:v>
      </x:c>
      <x:c r="G289" s="281" t="n">
        <x:v>56.2989</x:v>
      </x:c>
      <x:c r="H289" s="281" t="n">
        <x:v>0</x:v>
      </x:c>
      <x:c r="I289" s="281" t="n">
        <x:f>F289*'Assumptions'!$B$7*(1+'Assumptions'!$B$9)</x:f>
        <x:v>7.304399999999999</x:v>
      </x:c>
      <x:c r="J289" s="281" t="n">
        <x:f>F289*('Assumptions'!$B$7+'Assumptions'!$B$8)*(1+'Assumptions'!$B$9)</x:f>
        <x:v>21.9132</x:v>
      </x:c>
      <x:c r="K289" s="296" t="n">
        <x:f>MAX(0,ROUNDUP(J289-E289,0))</x:f>
        <x:v>22</x:v>
      </x:c>
      <x:c r="L289" s="298" t="n">
        <x:f>IF(F289=0,"",E289/F289)</x:f>
        <x:v>0</x:v>
      </x:c>
      <x:c r="M289" s="279" t="str">
        <x:f>IF(F289=0,IF(E289&gt;0,"No recent demand","No demand / no stock"),IF(E289&lt;=I289,"Order now",IF(L289&lt;='Assumptions'!$B$8,"Review soon","Sufficient stock")))</x:f>
        <x:v>Order now</x:v>
      </x:c>
      <x:c r="N289" s="300" t="n">
        <x:f>K289*H289</x:f>
        <x:v>0</x:v>
      </x:c>
    </x:row>
    <x:row r="290" ht="16.5" customHeight="1">
      <x:c r="A290" s="290" t="str">
        <x:v>SKU1502</x:v>
      </x:c>
      <x:c r="B290" s="291" t="str">
        <x:v>Product 1502</x:v>
      </x:c>
      <x:c r="C290" s="291" t="str">
        <x:v>Store A</x:v>
      </x:c>
      <x:c r="D290" s="291" t="str">
        <x:v>Multiple suppliers</x:v>
      </x:c>
      <x:c r="E290" s="292" t="n">
        <x:v>57</x:v>
      </x:c>
      <x:c r="F290" s="292" t="n">
        <x:v>3.0435</x:v>
      </x:c>
      <x:c r="G290" s="293" t="n">
        <x:v>31.374</x:v>
      </x:c>
      <x:c r="H290" s="293" t="n">
        <x:v>0.2303</x:v>
      </x:c>
      <x:c r="I290" s="293" t="n">
        <x:f>F290*'Assumptions'!$B$7*(1+'Assumptions'!$B$9)</x:f>
        <x:v>7.304399999999999</x:v>
      </x:c>
      <x:c r="J290" s="293" t="n">
        <x:f>F290*('Assumptions'!$B$7+'Assumptions'!$B$8)*(1+'Assumptions'!$B$9)</x:f>
        <x:v>21.9132</x:v>
      </x:c>
      <x:c r="K290" s="295" t="n">
        <x:f>MAX(0,ROUNDUP(J290-E290,0))</x:f>
        <x:v>0</x:v>
      </x:c>
      <x:c r="L290" s="297" t="n">
        <x:f>IF(F290=0,"",E290/F290)</x:f>
        <x:v>18.72843765401676</x:v>
      </x:c>
      <x:c r="M290" s="291" t="str">
        <x:f>IF(F290=0,IF(E290&gt;0,"No recent demand","No demand / no stock"),IF(E290&lt;=I290,"Order now",IF(L290&lt;='Assumptions'!$B$8,"Review soon","Sufficient stock")))</x:f>
        <x:v>Sufficient stock</x:v>
      </x:c>
      <x:c r="N290" s="299" t="n">
        <x:f>K290*H290</x:f>
        <x:v>0</x:v>
      </x:c>
    </x:row>
    <x:row r="291" ht="16.5" customHeight="1">
      <x:c r="A291" s="278" t="str">
        <x:v>SKU1701</x:v>
      </x:c>
      <x:c r="B291" s="279" t="str">
        <x:v>Product 1701</x:v>
      </x:c>
      <x:c r="C291" s="279" t="str">
        <x:v>Store C</x:v>
      </x:c>
      <x:c r="D291" s="279" t="str">
        <x:v>Supplier 74</x:v>
      </x:c>
      <x:c r="E291" s="280" t="n">
        <x:v>0</x:v>
      </x:c>
      <x:c r="F291" s="280" t="n">
        <x:v>3.0435</x:v>
      </x:c>
      <x:c r="G291" s="281" t="n">
        <x:v>43.16</x:v>
      </x:c>
      <x:c r="H291" s="281" t="n">
        <x:v>0.4897</x:v>
      </x:c>
      <x:c r="I291" s="281" t="n">
        <x:f>F291*'Assumptions'!$B$7*(1+'Assumptions'!$B$9)</x:f>
        <x:v>7.304399999999999</x:v>
      </x:c>
      <x:c r="J291" s="281" t="n">
        <x:f>F291*('Assumptions'!$B$7+'Assumptions'!$B$8)*(1+'Assumptions'!$B$9)</x:f>
        <x:v>21.9132</x:v>
      </x:c>
      <x:c r="K291" s="296" t="n">
        <x:f>MAX(0,ROUNDUP(J291-E291,0))</x:f>
        <x:v>22</x:v>
      </x:c>
      <x:c r="L291" s="298" t="n">
        <x:f>IF(F291=0,"",E291/F291)</x:f>
        <x:v>0</x:v>
      </x:c>
      <x:c r="M291" s="279" t="str">
        <x:f>IF(F291=0,IF(E291&gt;0,"No recent demand","No demand / no stock"),IF(E291&lt;=I291,"Order now",IF(L291&lt;='Assumptions'!$B$8,"Review soon","Sufficient stock")))</x:f>
        <x:v>Order now</x:v>
      </x:c>
      <x:c r="N291" s="300" t="n">
        <x:f>K291*H291</x:f>
        <x:v>10.7734</x:v>
      </x:c>
    </x:row>
    <x:row r="292" ht="16.5" customHeight="1">
      <x:c r="A292" s="290" t="str">
        <x:v>SKU1766</x:v>
      </x:c>
      <x:c r="B292" s="291" t="str">
        <x:v>Product 1766</x:v>
      </x:c>
      <x:c r="C292" s="291" t="str">
        <x:v>Store C</x:v>
      </x:c>
      <x:c r="D292" s="291" t="str">
        <x:v>Multiple suppliers</x:v>
      </x:c>
      <x:c r="E292" s="292" t="n">
        <x:v>0</x:v>
      </x:c>
      <x:c r="F292" s="292" t="n">
        <x:v>3.0435</x:v>
      </x:c>
      <x:c r="G292" s="293" t="n">
        <x:v>77.024</x:v>
      </x:c>
      <x:c r="H292" s="293" t="n">
        <x:v>0.7946</x:v>
      </x:c>
      <x:c r="I292" s="293" t="n">
        <x:f>F292*'Assumptions'!$B$7*(1+'Assumptions'!$B$9)</x:f>
        <x:v>7.304399999999999</x:v>
      </x:c>
      <x:c r="J292" s="293" t="n">
        <x:f>F292*('Assumptions'!$B$7+'Assumptions'!$B$8)*(1+'Assumptions'!$B$9)</x:f>
        <x:v>21.9132</x:v>
      </x:c>
      <x:c r="K292" s="295" t="n">
        <x:f>MAX(0,ROUNDUP(J292-E292,0))</x:f>
        <x:v>22</x:v>
      </x:c>
      <x:c r="L292" s="297" t="n">
        <x:f>IF(F292=0,"",E292/F292)</x:f>
        <x:v>0</x:v>
      </x:c>
      <x:c r="M292" s="291" t="str">
        <x:f>IF(F292=0,IF(E292&gt;0,"No recent demand","No demand / no stock"),IF(E292&lt;=I292,"Order now",IF(L292&lt;='Assumptions'!$B$8,"Review soon","Sufficient stock")))</x:f>
        <x:v>Order now</x:v>
      </x:c>
      <x:c r="N292" s="299" t="n">
        <x:f>K292*H292</x:f>
        <x:v>17.4812</x:v>
      </x:c>
    </x:row>
    <x:row r="293" ht="16.5" customHeight="1">
      <x:c r="A293" s="278" t="str">
        <x:v>SKU1789</x:v>
      </x:c>
      <x:c r="B293" s="279" t="str">
        <x:v>Product 1789</x:v>
      </x:c>
      <x:c r="C293" s="279" t="str">
        <x:v>Store B</x:v>
      </x:c>
      <x:c r="D293" s="279" t="str">
        <x:v>Supplier 42</x:v>
      </x:c>
      <x:c r="E293" s="280" t="n">
        <x:v>29</x:v>
      </x:c>
      <x:c r="F293" s="280" t="n">
        <x:v>3.0435</x:v>
      </x:c>
      <x:c r="G293" s="281" t="n">
        <x:v>48.8455</x:v>
      </x:c>
      <x:c r="H293" s="281" t="n">
        <x:v>1.328</x:v>
      </x:c>
      <x:c r="I293" s="281" t="n">
        <x:f>F293*'Assumptions'!$B$7*(1+'Assumptions'!$B$9)</x:f>
        <x:v>7.304399999999999</x:v>
      </x:c>
      <x:c r="J293" s="281" t="n">
        <x:f>F293*('Assumptions'!$B$7+'Assumptions'!$B$8)*(1+'Assumptions'!$B$9)</x:f>
        <x:v>21.9132</x:v>
      </x:c>
      <x:c r="K293" s="296" t="n">
        <x:f>MAX(0,ROUNDUP(J293-E293,0))</x:f>
        <x:v>0</x:v>
      </x:c>
      <x:c r="L293" s="298" t="n">
        <x:f>IF(F293=0,"",E293/F293)</x:f>
        <x:v>9.528503367833087</x:v>
      </x:c>
      <x:c r="M293" s="279" t="str">
        <x:f>IF(F293=0,IF(E293&gt;0,"No recent demand","No demand / no stock"),IF(E293&lt;=I293,"Order now",IF(L293&lt;='Assumptions'!$B$8,"Review soon","Sufficient stock")))</x:f>
        <x:v>Sufficient stock</x:v>
      </x:c>
      <x:c r="N293" s="300" t="n">
        <x:f>K293*H293</x:f>
        <x:v>0</x:v>
      </x:c>
    </x:row>
    <x:row r="294" ht="16.5" customHeight="1">
      <x:c r="A294" s="290" t="str">
        <x:v>SKU1088</x:v>
      </x:c>
      <x:c r="B294" s="291" t="str">
        <x:v>Product 1088</x:v>
      </x:c>
      <x:c r="C294" s="291" t="str">
        <x:v>Store B</x:v>
      </x:c>
      <x:c r="D294" s="291" t="str">
        <x:v>Supplier 51</x:v>
      </x:c>
      <x:c r="E294" s="292" t="n">
        <x:v>1</x:v>
      </x:c>
      <x:c r="F294" s="292" t="n">
        <x:v>2.9674</x:v>
      </x:c>
      <x:c r="G294" s="293" t="n">
        <x:v>20.418</x:v>
      </x:c>
      <x:c r="H294" s="293" t="n">
        <x:v>0.3652</x:v>
      </x:c>
      <x:c r="I294" s="293" t="n">
        <x:f>F294*'Assumptions'!$B$7*(1+'Assumptions'!$B$9)</x:f>
        <x:v>7.12176</x:v>
      </x:c>
      <x:c r="J294" s="293" t="n">
        <x:f>F294*('Assumptions'!$B$7+'Assumptions'!$B$8)*(1+'Assumptions'!$B$9)</x:f>
        <x:v>21.365280000000002</x:v>
      </x:c>
      <x:c r="K294" s="295" t="n">
        <x:f>MAX(0,ROUNDUP(J294-E294,0))</x:f>
        <x:v>21</x:v>
      </x:c>
      <x:c r="L294" s="297" t="n">
        <x:f>IF(F294=0,"",E294/F294)</x:f>
        <x:v>0.33699534946417736</x:v>
      </x:c>
      <x:c r="M294" s="291" t="str">
        <x:f>IF(F294=0,IF(E294&gt;0,"No recent demand","No demand / no stock"),IF(E294&lt;=I294,"Order now",IF(L294&lt;='Assumptions'!$B$8,"Review soon","Sufficient stock")))</x:f>
        <x:v>Order now</x:v>
      </x:c>
      <x:c r="N294" s="299" t="n">
        <x:f>K294*H294</x:f>
        <x:v>7.669200000000001</x:v>
      </x:c>
    </x:row>
    <x:row r="295" ht="16.5" customHeight="1">
      <x:c r="A295" s="278" t="str">
        <x:v>SKU1420</x:v>
      </x:c>
      <x:c r="B295" s="279" t="str">
        <x:v>Product 1420</x:v>
      </x:c>
      <x:c r="C295" s="279" t="str">
        <x:v>Store C</x:v>
      </x:c>
      <x:c r="D295" s="279" t="str">
        <x:v>Supplier 24</x:v>
      </x:c>
      <x:c r="E295" s="280" t="n">
        <x:v>23</x:v>
      </x:c>
      <x:c r="F295" s="280" t="n">
        <x:v>2.9674</x:v>
      </x:c>
      <x:c r="G295" s="281" t="n">
        <x:v>35.2418</x:v>
      </x:c>
      <x:c r="H295" s="281" t="n">
        <x:v>0.4482</x:v>
      </x:c>
      <x:c r="I295" s="281" t="n">
        <x:f>F295*'Assumptions'!$B$7*(1+'Assumptions'!$B$9)</x:f>
        <x:v>7.12176</x:v>
      </x:c>
      <x:c r="J295" s="281" t="n">
        <x:f>F295*('Assumptions'!$B$7+'Assumptions'!$B$8)*(1+'Assumptions'!$B$9)</x:f>
        <x:v>21.365280000000002</x:v>
      </x:c>
      <x:c r="K295" s="296" t="n">
        <x:f>MAX(0,ROUNDUP(J295-E295,0))</x:f>
        <x:v>0</x:v>
      </x:c>
      <x:c r="L295" s="298" t="n">
        <x:f>IF(F295=0,"",E295/F295)</x:f>
        <x:v>7.75089303767608</x:v>
      </x:c>
      <x:c r="M295" s="279" t="str">
        <x:f>IF(F295=0,IF(E295&gt;0,"No recent demand","No demand / no stock"),IF(E295&lt;=I295,"Order now",IF(L295&lt;='Assumptions'!$B$8,"Review soon","Sufficient stock")))</x:f>
        <x:v>Sufficient stock</x:v>
      </x:c>
      <x:c r="N295" s="300" t="n">
        <x:f>K295*H295</x:f>
        <x:v>0</x:v>
      </x:c>
    </x:row>
    <x:row r="296" ht="16.5" customHeight="1">
      <x:c r="A296" s="290" t="str">
        <x:v>SKU1609</x:v>
      </x:c>
      <x:c r="B296" s="291" t="str">
        <x:v>Product 1609</x:v>
      </x:c>
      <x:c r="C296" s="291" t="str">
        <x:v>Store B</x:v>
      </x:c>
      <x:c r="D296" s="291" t="str">
        <x:v>Supplier 07</x:v>
      </x:c>
      <x:c r="E296" s="292" t="n">
        <x:v>12</x:v>
      </x:c>
      <x:c r="F296" s="292" t="n">
        <x:v>2.9674</x:v>
      </x:c>
      <x:c r="G296" s="293" t="n">
        <x:v>52.6303</x:v>
      </x:c>
      <x:c r="H296" s="293" t="n">
        <x:v>0.6641</x:v>
      </x:c>
      <x:c r="I296" s="293" t="n">
        <x:f>F296*'Assumptions'!$B$7*(1+'Assumptions'!$B$9)</x:f>
        <x:v>7.12176</x:v>
      </x:c>
      <x:c r="J296" s="293" t="n">
        <x:f>F296*('Assumptions'!$B$7+'Assumptions'!$B$8)*(1+'Assumptions'!$B$9)</x:f>
        <x:v>21.365280000000002</x:v>
      </x:c>
      <x:c r="K296" s="295" t="n">
        <x:f>MAX(0,ROUNDUP(J296-E296,0))</x:f>
        <x:v>10</x:v>
      </x:c>
      <x:c r="L296" s="297" t="n">
        <x:f>IF(F296=0,"",E296/F296)</x:f>
        <x:v>4.043944193570129</x:v>
      </x:c>
      <x:c r="M296" s="291" t="str">
        <x:f>IF(F296=0,IF(E296&gt;0,"No recent demand","No demand / no stock"),IF(E296&lt;=I296,"Order now",IF(L296&lt;='Assumptions'!$B$8,"Review soon","Sufficient stock")))</x:f>
        <x:v>Sufficient stock</x:v>
      </x:c>
      <x:c r="N296" s="299" t="n">
        <x:f>K296*H296</x:f>
        <x:v>6.641</x:v>
      </x:c>
    </x:row>
    <x:row r="297" ht="16.5" customHeight="1">
      <x:c r="A297" s="278" t="str">
        <x:v>SKU1618</x:v>
      </x:c>
      <x:c r="B297" s="279" t="str">
        <x:v>Product 1618</x:v>
      </x:c>
      <x:c r="C297" s="279" t="str">
        <x:v>Store A</x:v>
      </x:c>
      <x:c r="D297" s="279" t="str">
        <x:v>Supplier 07</x:v>
      </x:c>
      <x:c r="E297" s="280" t="n">
        <x:v>14</x:v>
      </x:c>
      <x:c r="F297" s="280" t="n">
        <x:v>2.9674</x:v>
      </x:c>
      <x:c r="G297" s="281" t="n">
        <x:v>37.848</x:v>
      </x:c>
      <x:c r="H297" s="281" t="n">
        <x:v>0.498</x:v>
      </x:c>
      <x:c r="I297" s="281" t="n">
        <x:f>F297*'Assumptions'!$B$7*(1+'Assumptions'!$B$9)</x:f>
        <x:v>7.12176</x:v>
      </x:c>
      <x:c r="J297" s="281" t="n">
        <x:f>F297*('Assumptions'!$B$7+'Assumptions'!$B$8)*(1+'Assumptions'!$B$9)</x:f>
        <x:v>21.365280000000002</x:v>
      </x:c>
      <x:c r="K297" s="296" t="n">
        <x:f>MAX(0,ROUNDUP(J297-E297,0))</x:f>
        <x:v>8</x:v>
      </x:c>
      <x:c r="L297" s="298" t="n">
        <x:f>IF(F297=0,"",E297/F297)</x:f>
        <x:v>4.717934892498484</x:v>
      </x:c>
      <x:c r="M297" s="279" t="str">
        <x:f>IF(F297=0,IF(E297&gt;0,"No recent demand","No demand / no stock"),IF(E297&lt;=I297,"Order now",IF(L297&lt;='Assumptions'!$B$8,"Review soon","Sufficient stock")))</x:f>
        <x:v>Sufficient stock</x:v>
      </x:c>
      <x:c r="N297" s="300" t="n">
        <x:f>K297*H297</x:f>
        <x:v>3.984</x:v>
      </x:c>
    </x:row>
    <x:row r="298" ht="16.5" customHeight="1">
      <x:c r="A298" s="290" t="str">
        <x:v>SKU1618</x:v>
      </x:c>
      <x:c r="B298" s="291" t="str">
        <x:v>Product 1618</x:v>
      </x:c>
      <x:c r="C298" s="291" t="str">
        <x:v>Store C</x:v>
      </x:c>
      <x:c r="D298" s="291" t="str">
        <x:v>Supplier 07</x:v>
      </x:c>
      <x:c r="E298" s="292" t="n">
        <x:v>12</x:v>
      </x:c>
      <x:c r="F298" s="292" t="n">
        <x:v>2.9674</x:v>
      </x:c>
      <x:c r="G298" s="293" t="n">
        <x:v>38.5452</x:v>
      </x:c>
      <x:c r="H298" s="293" t="n">
        <x:v>0.4981</x:v>
      </x:c>
      <x:c r="I298" s="293" t="n">
        <x:f>F298*'Assumptions'!$B$7*(1+'Assumptions'!$B$9)</x:f>
        <x:v>7.12176</x:v>
      </x:c>
      <x:c r="J298" s="293" t="n">
        <x:f>F298*('Assumptions'!$B$7+'Assumptions'!$B$8)*(1+'Assumptions'!$B$9)</x:f>
        <x:v>21.365280000000002</x:v>
      </x:c>
      <x:c r="K298" s="295" t="n">
        <x:f>MAX(0,ROUNDUP(J298-E298,0))</x:f>
        <x:v>10</x:v>
      </x:c>
      <x:c r="L298" s="297" t="n">
        <x:f>IF(F298=0,"",E298/F298)</x:f>
        <x:v>4.043944193570129</x:v>
      </x:c>
      <x:c r="M298" s="291" t="str">
        <x:f>IF(F298=0,IF(E298&gt;0,"No recent demand","No demand / no stock"),IF(E298&lt;=I298,"Order now",IF(L298&lt;='Assumptions'!$B$8,"Review soon","Sufficient stock")))</x:f>
        <x:v>Sufficient stock</x:v>
      </x:c>
      <x:c r="N298" s="299" t="n">
        <x:f>K298*H298</x:f>
        <x:v>4.981</x:v>
      </x:c>
    </x:row>
    <x:row r="299" ht="16.5" customHeight="1">
      <x:c r="A299" s="278" t="str">
        <x:v>SKU1729</x:v>
      </x:c>
      <x:c r="B299" s="279" t="str">
        <x:v>Product 1729</x:v>
      </x:c>
      <x:c r="C299" s="279" t="str">
        <x:v>Store A</x:v>
      </x:c>
      <x:c r="D299" s="279" t="str">
        <x:v>Supplier 09</x:v>
      </x:c>
      <x:c r="E299" s="280" t="n">
        <x:v>7</x:v>
      </x:c>
      <x:c r="F299" s="280" t="n">
        <x:v>2.9674</x:v>
      </x:c>
      <x:c r="G299" s="281" t="n">
        <x:v>127.156</x:v>
      </x:c>
      <x:c r="H299" s="281" t="n">
        <x:v>1.1953</x:v>
      </x:c>
      <x:c r="I299" s="281" t="n">
        <x:f>F299*'Assumptions'!$B$7*(1+'Assumptions'!$B$9)</x:f>
        <x:v>7.12176</x:v>
      </x:c>
      <x:c r="J299" s="281" t="n">
        <x:f>F299*('Assumptions'!$B$7+'Assumptions'!$B$8)*(1+'Assumptions'!$B$9)</x:f>
        <x:v>21.365280000000002</x:v>
      </x:c>
      <x:c r="K299" s="296" t="n">
        <x:f>MAX(0,ROUNDUP(J299-E299,0))</x:f>
        <x:v>15</x:v>
      </x:c>
      <x:c r="L299" s="298" t="n">
        <x:f>IF(F299=0,"",E299/F299)</x:f>
        <x:v>2.358967446249242</x:v>
      </x:c>
      <x:c r="M299" s="279" t="str">
        <x:f>IF(F299=0,IF(E299&gt;0,"No recent demand","No demand / no stock"),IF(E299&lt;=I299,"Order now",IF(L299&lt;='Assumptions'!$B$8,"Review soon","Sufficient stock")))</x:f>
        <x:v>Order now</x:v>
      </x:c>
      <x:c r="N299" s="300" t="n">
        <x:f>K299*H299</x:f>
        <x:v>17.9295</x:v>
      </x:c>
    </x:row>
    <x:row r="300" ht="16.5" customHeight="1">
      <x:c r="A300" s="290" t="str">
        <x:v>SKU0807</x:v>
      </x:c>
      <x:c r="B300" s="291" t="str">
        <x:v>Product 0807</x:v>
      </x:c>
      <x:c r="C300" s="291" t="str">
        <x:v>Store C</x:v>
      </x:c>
      <x:c r="D300" s="291" t="str">
        <x:v>Supplier 66</x:v>
      </x:c>
      <x:c r="E300" s="292" t="n">
        <x:v>0</x:v>
      </x:c>
      <x:c r="F300" s="292" t="n">
        <x:v>2.8913</x:v>
      </x:c>
      <x:c r="G300" s="293" t="n">
        <x:v>50.464</x:v>
      </x:c>
      <x:c r="H300" s="293" t="n">
        <x:v>0.2739</x:v>
      </x:c>
      <x:c r="I300" s="293" t="n">
        <x:f>F300*'Assumptions'!$B$7*(1+'Assumptions'!$B$9)</x:f>
        <x:v>6.93912</x:v>
      </x:c>
      <x:c r="J300" s="293" t="n">
        <x:f>F300*('Assumptions'!$B$7+'Assumptions'!$B$8)*(1+'Assumptions'!$B$9)</x:f>
        <x:v>20.817359999999997</x:v>
      </x:c>
      <x:c r="K300" s="295" t="n">
        <x:f>MAX(0,ROUNDUP(J300-E300,0))</x:f>
        <x:v>21</x:v>
      </x:c>
      <x:c r="L300" s="297" t="n">
        <x:f>IF(F300=0,"",E300/F300)</x:f>
        <x:v>0</x:v>
      </x:c>
      <x:c r="M300" s="291" t="str">
        <x:f>IF(F300=0,IF(E300&gt;0,"No recent demand","No demand / no stock"),IF(E300&lt;=I300,"Order now",IF(L300&lt;='Assumptions'!$B$8,"Review soon","Sufficient stock")))</x:f>
        <x:v>Order now</x:v>
      </x:c>
      <x:c r="N300" s="299" t="n">
        <x:f>K300*H300</x:f>
        <x:v>5.751899999999999</x:v>
      </x:c>
    </x:row>
    <x:row r="301" ht="16.5" customHeight="1">
      <x:c r="A301" s="278" t="str">
        <x:v>SKU0879</x:v>
      </x:c>
      <x:c r="B301" s="279" t="str">
        <x:v>Product 0879</x:v>
      </x:c>
      <x:c r="C301" s="279" t="str">
        <x:v>Store C</x:v>
      </x:c>
      <x:c r="D301" s="279" t="str">
        <x:v>Supplier 69</x:v>
      </x:c>
      <x:c r="E301" s="280" t="n">
        <x:v>734</x:v>
      </x:c>
      <x:c r="F301" s="280" t="n">
        <x:v>2.8913</x:v>
      </x:c>
      <x:c r="G301" s="281" t="n">
        <x:v>4.7476</x:v>
      </x:c>
      <x:c r="H301" s="281" t="n">
        <x:v>0.0311</x:v>
      </x:c>
      <x:c r="I301" s="281" t="n">
        <x:f>F301*'Assumptions'!$B$7*(1+'Assumptions'!$B$9)</x:f>
        <x:v>6.93912</x:v>
      </x:c>
      <x:c r="J301" s="281" t="n">
        <x:f>F301*('Assumptions'!$B$7+'Assumptions'!$B$8)*(1+'Assumptions'!$B$9)</x:f>
        <x:v>20.817359999999997</x:v>
      </x:c>
      <x:c r="K301" s="296" t="n">
        <x:f>MAX(0,ROUNDUP(J301-E301,0))</x:f>
        <x:v>0</x:v>
      </x:c>
      <x:c r="L301" s="298" t="n">
        <x:f>IF(F301=0,"",E301/F301)</x:f>
        <x:v>253.8650434060803</x:v>
      </x:c>
      <x:c r="M301" s="279" t="str">
        <x:f>IF(F301=0,IF(E301&gt;0,"No recent demand","No demand / no stock"),IF(E301&lt;=I301,"Order now",IF(L301&lt;='Assumptions'!$B$8,"Review soon","Sufficient stock")))</x:f>
        <x:v>Sufficient stock</x:v>
      </x:c>
      <x:c r="N301" s="300" t="n">
        <x:f>K301*H301</x:f>
        <x:v>0</x:v>
      </x:c>
    </x:row>
    <x:row r="302" ht="16.5" customHeight="1">
      <x:c r="A302" s="290" t="str">
        <x:v>SKU0891</x:v>
      </x:c>
      <x:c r="B302" s="291" t="str">
        <x:v>Product 0891</x:v>
      </x:c>
      <x:c r="C302" s="291" t="str">
        <x:v>Store C</x:v>
      </x:c>
      <x:c r="D302" s="291" t="str">
        <x:v>Supplier 02</x:v>
      </x:c>
      <x:c r="E302" s="292" t="n">
        <x:v>16</x:v>
      </x:c>
      <x:c r="F302" s="292" t="n">
        <x:v>2.8913</x:v>
      </x:c>
      <x:c r="G302" s="293" t="n">
        <x:v>44.156</x:v>
      </x:c>
      <x:c r="H302" s="293" t="n">
        <x:v>0.3644</x:v>
      </x:c>
      <x:c r="I302" s="293" t="n">
        <x:f>F302*'Assumptions'!$B$7*(1+'Assumptions'!$B$9)</x:f>
        <x:v>6.93912</x:v>
      </x:c>
      <x:c r="J302" s="293" t="n">
        <x:f>F302*('Assumptions'!$B$7+'Assumptions'!$B$8)*(1+'Assumptions'!$B$9)</x:f>
        <x:v>20.817359999999997</x:v>
      </x:c>
      <x:c r="K302" s="295" t="n">
        <x:f>MAX(0,ROUNDUP(J302-E302,0))</x:f>
        <x:v>5</x:v>
      </x:c>
      <x:c r="L302" s="297" t="n">
        <x:f>IF(F302=0,"",E302/F302)</x:f>
        <x:v>5.533842908034448</x:v>
      </x:c>
      <x:c r="M302" s="291" t="str">
        <x:f>IF(F302=0,IF(E302&gt;0,"No recent demand","No demand / no stock"),IF(E302&lt;=I302,"Order now",IF(L302&lt;='Assumptions'!$B$8,"Review soon","Sufficient stock")))</x:f>
        <x:v>Sufficient stock</x:v>
      </x:c>
      <x:c r="N302" s="299" t="n">
        <x:f>K302*H302</x:f>
        <x:v>1.822</x:v>
      </x:c>
    </x:row>
    <x:row r="303" ht="16.5" customHeight="1">
      <x:c r="A303" s="278" t="str">
        <x:v>SKU1324</x:v>
      </x:c>
      <x:c r="B303" s="279" t="str">
        <x:v>Product 1324</x:v>
      </x:c>
      <x:c r="C303" s="279" t="str">
        <x:v>Store A</x:v>
      </x:c>
      <x:c r="D303" s="279" t="str">
        <x:v>Supplier 03</x:v>
      </x:c>
      <x:c r="E303" s="280" t="n">
        <x:v>0</x:v>
      </x:c>
      <x:c r="F303" s="280" t="n">
        <x:v>2.8913</x:v>
      </x:c>
      <x:c r="G303" s="281" t="n">
        <x:v>51.7837</x:v>
      </x:c>
      <x:c r="H303" s="281" t="n">
        <x:v>0.6226</x:v>
      </x:c>
      <x:c r="I303" s="281" t="n">
        <x:f>F303*'Assumptions'!$B$7*(1+'Assumptions'!$B$9)</x:f>
        <x:v>6.93912</x:v>
      </x:c>
      <x:c r="J303" s="281" t="n">
        <x:f>F303*('Assumptions'!$B$7+'Assumptions'!$B$8)*(1+'Assumptions'!$B$9)</x:f>
        <x:v>20.817359999999997</x:v>
      </x:c>
      <x:c r="K303" s="296" t="n">
        <x:f>MAX(0,ROUNDUP(J303-E303,0))</x:f>
        <x:v>21</x:v>
      </x:c>
      <x:c r="L303" s="298" t="n">
        <x:f>IF(F303=0,"",E303/F303)</x:f>
        <x:v>0</x:v>
      </x:c>
      <x:c r="M303" s="279" t="str">
        <x:f>IF(F303=0,IF(E303&gt;0,"No recent demand","No demand / no stock"),IF(E303&lt;=I303,"Order now",IF(L303&lt;='Assumptions'!$B$8,"Review soon","Sufficient stock")))</x:f>
        <x:v>Order now</x:v>
      </x:c>
      <x:c r="N303" s="300" t="n">
        <x:f>K303*H303</x:f>
        <x:v>13.0746</x:v>
      </x:c>
    </x:row>
    <x:row r="304" ht="16.5" customHeight="1">
      <x:c r="A304" s="290" t="str">
        <x:v>SKU1502</x:v>
      </x:c>
      <x:c r="B304" s="291" t="str">
        <x:v>Product 1502</x:v>
      </x:c>
      <x:c r="C304" s="291" t="str">
        <x:v>Store B</x:v>
      </x:c>
      <x:c r="D304" s="291" t="str">
        <x:v>Multiple suppliers</x:v>
      </x:c>
      <x:c r="E304" s="292" t="n">
        <x:v>57</x:v>
      </x:c>
      <x:c r="F304" s="292" t="n">
        <x:v>2.8913</x:v>
      </x:c>
      <x:c r="G304" s="293" t="n">
        <x:v>30.793</x:v>
      </x:c>
      <x:c r="H304" s="293" t="n">
        <x:v>0.2304</x:v>
      </x:c>
      <x:c r="I304" s="293" t="n">
        <x:f>F304*'Assumptions'!$B$7*(1+'Assumptions'!$B$9)</x:f>
        <x:v>6.93912</x:v>
      </x:c>
      <x:c r="J304" s="293" t="n">
        <x:f>F304*('Assumptions'!$B$7+'Assumptions'!$B$8)*(1+'Assumptions'!$B$9)</x:f>
        <x:v>20.817359999999997</x:v>
      </x:c>
      <x:c r="K304" s="295" t="n">
        <x:f>MAX(0,ROUNDUP(J304-E304,0))</x:f>
        <x:v>0</x:v>
      </x:c>
      <x:c r="L304" s="297" t="n">
        <x:f>IF(F304=0,"",E304/F304)</x:f>
        <x:v>19.71431535987272</x:v>
      </x:c>
      <x:c r="M304" s="291" t="str">
        <x:f>IF(F304=0,IF(E304&gt;0,"No recent demand","No demand / no stock"),IF(E304&lt;=I304,"Order now",IF(L304&lt;='Assumptions'!$B$8,"Review soon","Sufficient stock")))</x:f>
        <x:v>Sufficient stock</x:v>
      </x:c>
      <x:c r="N304" s="299" t="n">
        <x:f>K304*H304</x:f>
        <x:v>0</x:v>
      </x:c>
    </x:row>
    <x:row r="305" ht="16.5" customHeight="1">
      <x:c r="A305" s="278" t="str">
        <x:v>SKU1607</x:v>
      </x:c>
      <x:c r="B305" s="279" t="str">
        <x:v>Product 1607</x:v>
      </x:c>
      <x:c r="C305" s="279" t="str">
        <x:v>Store C</x:v>
      </x:c>
      <x:c r="D305" s="279" t="str">
        <x:v>Supplier 07</x:v>
      </x:c>
      <x:c r="E305" s="280" t="n">
        <x:v>0</x:v>
      </x:c>
      <x:c r="F305" s="280" t="n">
        <x:v>2.8913</x:v>
      </x:c>
      <x:c r="G305" s="281" t="n">
        <x:v>41.7573</x:v>
      </x:c>
      <x:c r="H305" s="281" t="n">
        <x:v>0.6641</x:v>
      </x:c>
      <x:c r="I305" s="281" t="n">
        <x:f>F305*'Assumptions'!$B$7*(1+'Assumptions'!$B$9)</x:f>
        <x:v>6.93912</x:v>
      </x:c>
      <x:c r="J305" s="281" t="n">
        <x:f>F305*('Assumptions'!$B$7+'Assumptions'!$B$8)*(1+'Assumptions'!$B$9)</x:f>
        <x:v>20.817359999999997</x:v>
      </x:c>
      <x:c r="K305" s="296" t="n">
        <x:f>MAX(0,ROUNDUP(J305-E305,0))</x:f>
        <x:v>21</x:v>
      </x:c>
      <x:c r="L305" s="298" t="n">
        <x:f>IF(F305=0,"",E305/F305)</x:f>
        <x:v>0</x:v>
      </x:c>
      <x:c r="M305" s="279" t="str">
        <x:f>IF(F305=0,IF(E305&gt;0,"No recent demand","No demand / no stock"),IF(E305&lt;=I305,"Order now",IF(L305&lt;='Assumptions'!$B$8,"Review soon","Sufficient stock")))</x:f>
        <x:v>Order now</x:v>
      </x:c>
      <x:c r="N305" s="300" t="n">
        <x:f>K305*H305</x:f>
        <x:v>13.946100000000001</x:v>
      </x:c>
    </x:row>
    <x:row r="306" ht="16.5" customHeight="1">
      <x:c r="A306" s="290" t="str">
        <x:v>SKU1686</x:v>
      </x:c>
      <x:c r="B306" s="291" t="str">
        <x:v>Product 1686</x:v>
      </x:c>
      <x:c r="C306" s="291" t="str">
        <x:v>Store B</x:v>
      </x:c>
      <x:c r="D306" s="291" t="str">
        <x:v>Supplier 42</x:v>
      </x:c>
      <x:c r="E306" s="292" t="n">
        <x:v>57</x:v>
      </x:c>
      <x:c r="F306" s="292" t="n">
        <x:v>2.8913</x:v>
      </x:c>
      <x:c r="G306" s="293" t="n">
        <x:v>44.156</x:v>
      </x:c>
      <x:c r="H306" s="293" t="n">
        <x:v>0.4897</x:v>
      </x:c>
      <x:c r="I306" s="293" t="n">
        <x:f>F306*'Assumptions'!$B$7*(1+'Assumptions'!$B$9)</x:f>
        <x:v>6.93912</x:v>
      </x:c>
      <x:c r="J306" s="293" t="n">
        <x:f>F306*('Assumptions'!$B$7+'Assumptions'!$B$8)*(1+'Assumptions'!$B$9)</x:f>
        <x:v>20.817359999999997</x:v>
      </x:c>
      <x:c r="K306" s="295" t="n">
        <x:f>MAX(0,ROUNDUP(J306-E306,0))</x:f>
        <x:v>0</x:v>
      </x:c>
      <x:c r="L306" s="297" t="n">
        <x:f>IF(F306=0,"",E306/F306)</x:f>
        <x:v>19.71431535987272</x:v>
      </x:c>
      <x:c r="M306" s="291" t="str">
        <x:f>IF(F306=0,IF(E306&gt;0,"No recent demand","No demand / no stock"),IF(E306&lt;=I306,"Order now",IF(L306&lt;='Assumptions'!$B$8,"Review soon","Sufficient stock")))</x:f>
        <x:v>Sufficient stock</x:v>
      </x:c>
      <x:c r="N306" s="299" t="n">
        <x:f>K306*H306</x:f>
        <x:v>0</x:v>
      </x:c>
    </x:row>
    <x:row r="307" ht="16.5" customHeight="1">
      <x:c r="A307" s="278" t="str">
        <x:v>SKU1734</x:v>
      </x:c>
      <x:c r="B307" s="279" t="str">
        <x:v>Product 1734</x:v>
      </x:c>
      <x:c r="C307" s="279" t="str">
        <x:v>Store B</x:v>
      </x:c>
      <x:c r="D307" s="279" t="str">
        <x:v>Supplier 09</x:v>
      </x:c>
      <x:c r="E307" s="280" t="n">
        <x:v>9</x:v>
      </x:c>
      <x:c r="F307" s="280" t="n">
        <x:v>2.8913</x:v>
      </x:c>
      <x:c r="G307" s="281" t="n">
        <x:v>56.0084</x:v>
      </x:c>
      <x:c r="H307" s="281" t="n">
        <x:v>0.415</x:v>
      </x:c>
      <x:c r="I307" s="281" t="n">
        <x:f>F307*'Assumptions'!$B$7*(1+'Assumptions'!$B$9)</x:f>
        <x:v>6.93912</x:v>
      </x:c>
      <x:c r="J307" s="281" t="n">
        <x:f>F307*('Assumptions'!$B$7+'Assumptions'!$B$8)*(1+'Assumptions'!$B$9)</x:f>
        <x:v>20.817359999999997</x:v>
      </x:c>
      <x:c r="K307" s="296" t="n">
        <x:f>MAX(0,ROUNDUP(J307-E307,0))</x:f>
        <x:v>12</x:v>
      </x:c>
      <x:c r="L307" s="298" t="n">
        <x:f>IF(F307=0,"",E307/F307)</x:f>
        <x:v>3.112786635769377</x:v>
      </x:c>
      <x:c r="M307" s="279" t="str">
        <x:f>IF(F307=0,IF(E307&gt;0,"No recent demand","No demand / no stock"),IF(E307&lt;=I307,"Order now",IF(L307&lt;='Assumptions'!$B$8,"Review soon","Sufficient stock")))</x:f>
        <x:v>Review soon</x:v>
      </x:c>
      <x:c r="N307" s="300" t="n">
        <x:f>K307*H307</x:f>
        <x:v>4.9799999999999995</x:v>
      </x:c>
    </x:row>
    <x:row r="308" ht="16.5" customHeight="1">
      <x:c r="A308" s="290" t="str">
        <x:v>SKU0518</x:v>
      </x:c>
      <x:c r="B308" s="291" t="str">
        <x:v>Product 0518</x:v>
      </x:c>
      <x:c r="C308" s="291" t="str">
        <x:v>Store B</x:v>
      </x:c>
      <x:c r="D308" s="291" t="str">
        <x:v>Multiple suppliers</x:v>
      </x:c>
      <x:c r="E308" s="292" t="n">
        <x:v>31</x:v>
      </x:c>
      <x:c r="F308" s="292" t="n">
        <x:v>2.8152</x:v>
      </x:c>
      <x:c r="G308" s="293" t="n">
        <x:v>21.497</x:v>
      </x:c>
      <x:c r="H308" s="293" t="n">
        <x:v>0.2229</x:v>
      </x:c>
      <x:c r="I308" s="293" t="n">
        <x:f>F308*'Assumptions'!$B$7*(1+'Assumptions'!$B$9)</x:f>
        <x:v>6.75648</x:v>
      </x:c>
      <x:c r="J308" s="293" t="n">
        <x:f>F308*('Assumptions'!$B$7+'Assumptions'!$B$8)*(1+'Assumptions'!$B$9)</x:f>
        <x:v>20.269439999999996</x:v>
      </x:c>
      <x:c r="K308" s="295" t="n">
        <x:f>MAX(0,ROUNDUP(J308-E308,0))</x:f>
        <x:v>0</x:v>
      </x:c>
      <x:c r="L308" s="297" t="n">
        <x:f>IF(F308=0,"",E308/F308)</x:f>
        <x:v>11.011651037226486</x:v>
      </x:c>
      <x:c r="M308" s="291" t="str">
        <x:f>IF(F308=0,IF(E308&gt;0,"No recent demand","No demand / no stock"),IF(E308&lt;=I308,"Order now",IF(L308&lt;='Assumptions'!$B$8,"Review soon","Sufficient stock")))</x:f>
        <x:v>Sufficient stock</x:v>
      </x:c>
      <x:c r="N308" s="299" t="n">
        <x:f>K308*H308</x:f>
        <x:v>0</x:v>
      </x:c>
    </x:row>
    <x:row r="309" ht="16.5" customHeight="1">
      <x:c r="A309" s="278" t="str">
        <x:v>SKU0658</x:v>
      </x:c>
      <x:c r="B309" s="279" t="str">
        <x:v>Product 0658</x:v>
      </x:c>
      <x:c r="C309" s="279" t="str">
        <x:v>Store B</x:v>
      </x:c>
      <x:c r="D309" s="279" t="str">
        <x:v>Supplier 16</x:v>
      </x:c>
      <x:c r="E309" s="280" t="n">
        <x:v>1</x:v>
      </x:c>
      <x:c r="F309" s="280" t="n">
        <x:v>2.8152</x:v>
      </x:c>
      <x:c r="G309" s="281" t="n">
        <x:v>30.544</x:v>
      </x:c>
      <x:c r="H309" s="281" t="n">
        <x:v>0.2714</x:v>
      </x:c>
      <x:c r="I309" s="281" t="n">
        <x:f>F309*'Assumptions'!$B$7*(1+'Assumptions'!$B$9)</x:f>
        <x:v>6.75648</x:v>
      </x:c>
      <x:c r="J309" s="281" t="n">
        <x:f>F309*('Assumptions'!$B$7+'Assumptions'!$B$8)*(1+'Assumptions'!$B$9)</x:f>
        <x:v>20.269439999999996</x:v>
      </x:c>
      <x:c r="K309" s="296" t="n">
        <x:f>MAX(0,ROUNDUP(J309-E309,0))</x:f>
        <x:v>20</x:v>
      </x:c>
      <x:c r="L309" s="298" t="n">
        <x:f>IF(F309=0,"",E309/F309)</x:f>
        <x:v>0.3552145495879511</x:v>
      </x:c>
      <x:c r="M309" s="279" t="str">
        <x:f>IF(F309=0,IF(E309&gt;0,"No recent demand","No demand / no stock"),IF(E309&lt;=I309,"Order now",IF(L309&lt;='Assumptions'!$B$8,"Review soon","Sufficient stock")))</x:f>
        <x:v>Order now</x:v>
      </x:c>
      <x:c r="N309" s="300" t="n">
        <x:f>K309*H309</x:f>
        <x:v>5.427999999999999</x:v>
      </x:c>
    </x:row>
    <x:row r="310" ht="16.5" customHeight="1">
      <x:c r="A310" s="290" t="str">
        <x:v>SKU0678</x:v>
      </x:c>
      <x:c r="B310" s="291" t="str">
        <x:v>Product 0678</x:v>
      </x:c>
      <x:c r="C310" s="291" t="str">
        <x:v>Store B</x:v>
      </x:c>
      <x:c r="D310" s="291" t="str">
        <x:v>Supplier 02</x:v>
      </x:c>
      <x:c r="E310" s="292" t="n">
        <x:v>13</x:v>
      </x:c>
      <x:c r="F310" s="292" t="n">
        <x:v>2.8152</x:v>
      </x:c>
      <x:c r="G310" s="293" t="n">
        <x:v>66.8316</x:v>
      </x:c>
      <x:c r="H310" s="293" t="n">
        <x:v>0.4117</x:v>
      </x:c>
      <x:c r="I310" s="293" t="n">
        <x:f>F310*'Assumptions'!$B$7*(1+'Assumptions'!$B$9)</x:f>
        <x:v>6.75648</x:v>
      </x:c>
      <x:c r="J310" s="293" t="n">
        <x:f>F310*('Assumptions'!$B$7+'Assumptions'!$B$8)*(1+'Assumptions'!$B$9)</x:f>
        <x:v>20.269439999999996</x:v>
      </x:c>
      <x:c r="K310" s="295" t="n">
        <x:f>MAX(0,ROUNDUP(J310-E310,0))</x:f>
        <x:v>8</x:v>
      </x:c>
      <x:c r="L310" s="297" t="n">
        <x:f>IF(F310=0,"",E310/F310)</x:f>
        <x:v>4.617789144643365</x:v>
      </x:c>
      <x:c r="M310" s="291" t="str">
        <x:f>IF(F310=0,IF(E310&gt;0,"No recent demand","No demand / no stock"),IF(E310&lt;=I310,"Order now",IF(L310&lt;='Assumptions'!$B$8,"Review soon","Sufficient stock")))</x:f>
        <x:v>Sufficient stock</x:v>
      </x:c>
      <x:c r="N310" s="299" t="n">
        <x:f>K310*H310</x:f>
        <x:v>3.2936</x:v>
      </x:c>
    </x:row>
    <x:row r="311" ht="16.5" customHeight="1">
      <x:c r="A311" s="278" t="str">
        <x:v>SKU0713</x:v>
      </x:c>
      <x:c r="B311" s="279" t="str">
        <x:v>Product 0713</x:v>
      </x:c>
      <x:c r="C311" s="279" t="str">
        <x:v>Store A</x:v>
      </x:c>
      <x:c r="D311" s="279" t="str">
        <x:v>Supplier 02</x:v>
      </x:c>
      <x:c r="E311" s="280" t="n">
        <x:v>0</x:v>
      </x:c>
      <x:c r="F311" s="280" t="n">
        <x:v>2.8152</x:v>
      </x:c>
      <x:c r="G311" s="281" t="n">
        <x:v>44.9445</x:v>
      </x:c>
      <x:c r="H311" s="281" t="n">
        <x:v>0.3071</x:v>
      </x:c>
      <x:c r="I311" s="281" t="n">
        <x:f>F311*'Assumptions'!$B$7*(1+'Assumptions'!$B$9)</x:f>
        <x:v>6.75648</x:v>
      </x:c>
      <x:c r="J311" s="281" t="n">
        <x:f>F311*('Assumptions'!$B$7+'Assumptions'!$B$8)*(1+'Assumptions'!$B$9)</x:f>
        <x:v>20.269439999999996</x:v>
      </x:c>
      <x:c r="K311" s="296" t="n">
        <x:f>MAX(0,ROUNDUP(J311-E311,0))</x:f>
        <x:v>21</x:v>
      </x:c>
      <x:c r="L311" s="298" t="n">
        <x:f>IF(F311=0,"",E311/F311)</x:f>
        <x:v>0</x:v>
      </x:c>
      <x:c r="M311" s="279" t="str">
        <x:f>IF(F311=0,IF(E311&gt;0,"No recent demand","No demand / no stock"),IF(E311&lt;=I311,"Order now",IF(L311&lt;='Assumptions'!$B$8,"Review soon","Sufficient stock")))</x:f>
        <x:v>Order now</x:v>
      </x:c>
      <x:c r="N311" s="300" t="n">
        <x:f>K311*H311</x:f>
        <x:v>6.4491</x:v>
      </x:c>
    </x:row>
    <x:row r="312" ht="16.5" customHeight="1">
      <x:c r="A312" s="290" t="str">
        <x:v>SKU1009</x:v>
      </x:c>
      <x:c r="B312" s="291" t="str">
        <x:v>Product 1009</x:v>
      </x:c>
      <x:c r="C312" s="291" t="str">
        <x:v>Store B</x:v>
      </x:c>
      <x:c r="D312" s="291" t="str">
        <x:v>Supplier 03</x:v>
      </x:c>
      <x:c r="E312" s="292" t="n">
        <x:v>31</x:v>
      </x:c>
      <x:c r="F312" s="292" t="n">
        <x:v>2.8152</x:v>
      </x:c>
      <x:c r="G312" s="293" t="n">
        <x:v>48.2811</x:v>
      </x:c>
      <x:c r="H312" s="293" t="n">
        <x:v>0.4648</x:v>
      </x:c>
      <x:c r="I312" s="293" t="n">
        <x:f>F312*'Assumptions'!$B$7*(1+'Assumptions'!$B$9)</x:f>
        <x:v>6.75648</x:v>
      </x:c>
      <x:c r="J312" s="293" t="n">
        <x:f>F312*('Assumptions'!$B$7+'Assumptions'!$B$8)*(1+'Assumptions'!$B$9)</x:f>
        <x:v>20.269439999999996</x:v>
      </x:c>
      <x:c r="K312" s="295" t="n">
        <x:f>MAX(0,ROUNDUP(J312-E312,0))</x:f>
        <x:v>0</x:v>
      </x:c>
      <x:c r="L312" s="297" t="n">
        <x:f>IF(F312=0,"",E312/F312)</x:f>
        <x:v>11.011651037226486</x:v>
      </x:c>
      <x:c r="M312" s="291" t="str">
        <x:f>IF(F312=0,IF(E312&gt;0,"No recent demand","No demand / no stock"),IF(E312&lt;=I312,"Order now",IF(L312&lt;='Assumptions'!$B$8,"Review soon","Sufficient stock")))</x:f>
        <x:v>Sufficient stock</x:v>
      </x:c>
      <x:c r="N312" s="299" t="n">
        <x:f>K312*H312</x:f>
        <x:v>0</x:v>
      </x:c>
    </x:row>
    <x:row r="313" ht="16.5" customHeight="1">
      <x:c r="A313" s="278" t="str">
        <x:v>SKU1232</x:v>
      </x:c>
      <x:c r="B313" s="279" t="str">
        <x:v>Product 1232</x:v>
      </x:c>
      <x:c r="C313" s="279" t="str">
        <x:v>Store B</x:v>
      </x:c>
      <x:c r="D313" s="279" t="str">
        <x:v>Supplier 19</x:v>
      </x:c>
      <x:c r="E313" s="280" t="n">
        <x:v>27</x:v>
      </x:c>
      <x:c r="F313" s="280" t="n">
        <x:v>2.8152</x:v>
      </x:c>
      <x:c r="G313" s="281" t="n">
        <x:v>12.284</x:v>
      </x:c>
      <x:c r="H313" s="281" t="n">
        <x:v>0.1328</x:v>
      </x:c>
      <x:c r="I313" s="281" t="n">
        <x:f>F313*'Assumptions'!$B$7*(1+'Assumptions'!$B$9)</x:f>
        <x:v>6.75648</x:v>
      </x:c>
      <x:c r="J313" s="281" t="n">
        <x:f>F313*('Assumptions'!$B$7+'Assumptions'!$B$8)*(1+'Assumptions'!$B$9)</x:f>
        <x:v>20.269439999999996</x:v>
      </x:c>
      <x:c r="K313" s="296" t="n">
        <x:f>MAX(0,ROUNDUP(J313-E313,0))</x:f>
        <x:v>0</x:v>
      </x:c>
      <x:c r="L313" s="298" t="n">
        <x:f>IF(F313=0,"",E313/F313)</x:f>
        <x:v>9.59079283887468</x:v>
      </x:c>
      <x:c r="M313" s="279" t="str">
        <x:f>IF(F313=0,IF(E313&gt;0,"No recent demand","No demand / no stock"),IF(E313&lt;=I313,"Order now",IF(L313&lt;='Assumptions'!$B$8,"Review soon","Sufficient stock")))</x:f>
        <x:v>Sufficient stock</x:v>
      </x:c>
      <x:c r="N313" s="300" t="n">
        <x:f>K313*H313</x:f>
        <x:v>0</x:v>
      </x:c>
    </x:row>
    <x:row r="314" ht="16.5" customHeight="1">
      <x:c r="A314" s="290" t="str">
        <x:v>SKU1730</x:v>
      </x:c>
      <x:c r="B314" s="291" t="str">
        <x:v>Product 1730</x:v>
      </x:c>
      <x:c r="C314" s="291" t="str">
        <x:v>Store C</x:v>
      </x:c>
      <x:c r="D314" s="291" t="str">
        <x:v>Supplier 09</x:v>
      </x:c>
      <x:c r="E314" s="292" t="n">
        <x:v>11</x:v>
      </x:c>
      <x:c r="F314" s="292" t="n">
        <x:v>2.8152</x:v>
      </x:c>
      <x:c r="G314" s="293" t="n">
        <x:v>98.106</x:v>
      </x:c>
      <x:c r="H314" s="293" t="n">
        <x:v>1.0708</x:v>
      </x:c>
      <x:c r="I314" s="293" t="n">
        <x:f>F314*'Assumptions'!$B$7*(1+'Assumptions'!$B$9)</x:f>
        <x:v>6.75648</x:v>
      </x:c>
      <x:c r="J314" s="293" t="n">
        <x:f>F314*('Assumptions'!$B$7+'Assumptions'!$B$8)*(1+'Assumptions'!$B$9)</x:f>
        <x:v>20.269439999999996</x:v>
      </x:c>
      <x:c r="K314" s="295" t="n">
        <x:f>MAX(0,ROUNDUP(J314-E314,0))</x:f>
        <x:v>10</x:v>
      </x:c>
      <x:c r="L314" s="297" t="n">
        <x:f>IF(F314=0,"",E314/F314)</x:f>
        <x:v>3.9073600454674624</x:v>
      </x:c>
      <x:c r="M314" s="291" t="str">
        <x:f>IF(F314=0,IF(E314&gt;0,"No recent demand","No demand / no stock"),IF(E314&lt;=I314,"Order now",IF(L314&lt;='Assumptions'!$B$8,"Review soon","Sufficient stock")))</x:f>
        <x:v>Review soon</x:v>
      </x:c>
      <x:c r="N314" s="299" t="n">
        <x:f>K314*H314</x:f>
        <x:v>10.708</x:v>
      </x:c>
    </x:row>
    <x:row r="315" ht="16.5" customHeight="1">
      <x:c r="A315" s="278" t="str">
        <x:v>SKU0064</x:v>
      </x:c>
      <x:c r="B315" s="279" t="str">
        <x:v>Product 0064</x:v>
      </x:c>
      <x:c r="C315" s="279" t="str">
        <x:v>Store B</x:v>
      </x:c>
      <x:c r="D315" s="279" t="str">
        <x:v>Supplier 68</x:v>
      </x:c>
      <x:c r="E315" s="280" t="n">
        <x:v>0</x:v>
      </x:c>
      <x:c r="F315" s="280" t="n">
        <x:v>2.7391</x:v>
      </x:c>
      <x:c r="G315" s="281" t="n">
        <x:v>32.6854</x:v>
      </x:c>
      <x:c r="H315" s="281" t="n">
        <x:v>0.3735</x:v>
      </x:c>
      <x:c r="I315" s="281" t="n">
        <x:f>F315*'Assumptions'!$B$7*(1+'Assumptions'!$B$9)</x:f>
        <x:v>6.57384</x:v>
      </x:c>
      <x:c r="J315" s="281" t="n">
        <x:f>F315*('Assumptions'!$B$7+'Assumptions'!$B$8)*(1+'Assumptions'!$B$9)</x:f>
        <x:v>19.721519999999998</x:v>
      </x:c>
      <x:c r="K315" s="296" t="n">
        <x:f>MAX(0,ROUNDUP(J315-E315,0))</x:f>
        <x:v>20</x:v>
      </x:c>
      <x:c r="L315" s="298" t="n">
        <x:f>IF(F315=0,"",E315/F315)</x:f>
        <x:v>0</x:v>
      </x:c>
      <x:c r="M315" s="279" t="str">
        <x:f>IF(F315=0,IF(E315&gt;0,"No recent demand","No demand / no stock"),IF(E315&lt;=I315,"Order now",IF(L315&lt;='Assumptions'!$B$8,"Review soon","Sufficient stock")))</x:f>
        <x:v>Order now</x:v>
      </x:c>
      <x:c r="N315" s="300" t="n">
        <x:f>K315*H315</x:f>
        <x:v>7.47</x:v>
      </x:c>
    </x:row>
    <x:row r="316" ht="16.5" customHeight="1">
      <x:c r="A316" s="290" t="str">
        <x:v>SKU0145</x:v>
      </x:c>
      <x:c r="B316" s="291" t="str">
        <x:v>Product 0145</x:v>
      </x:c>
      <x:c r="C316" s="291" t="str">
        <x:v>Store C</x:v>
      </x:c>
      <x:c r="D316" s="291" t="str">
        <x:v>Supplier 68</x:v>
      </x:c>
      <x:c r="E316" s="292" t="n">
        <x:v>24</x:v>
      </x:c>
      <x:c r="F316" s="292" t="n">
        <x:v>2.7391</x:v>
      </x:c>
      <x:c r="G316" s="293" t="n">
        <x:v>13.3713</x:v>
      </x:c>
      <x:c r="H316" s="293" t="n">
        <x:v>0.1231</x:v>
      </x:c>
      <x:c r="I316" s="293" t="n">
        <x:f>F316*'Assumptions'!$B$7*(1+'Assumptions'!$B$9)</x:f>
        <x:v>6.57384</x:v>
      </x:c>
      <x:c r="J316" s="293" t="n">
        <x:f>F316*('Assumptions'!$B$7+'Assumptions'!$B$8)*(1+'Assumptions'!$B$9)</x:f>
        <x:v>19.721519999999998</x:v>
      </x:c>
      <x:c r="K316" s="295" t="n">
        <x:f>MAX(0,ROUNDUP(J316-E316,0))</x:f>
        <x:v>0</x:v>
      </x:c>
      <x:c r="L316" s="297" t="n">
        <x:f>IF(F316=0,"",E316/F316)</x:f>
        <x:v>8.762002117483846</x:v>
      </x:c>
      <x:c r="M316" s="291" t="str">
        <x:f>IF(F316=0,IF(E316&gt;0,"No recent demand","No demand / no stock"),IF(E316&lt;=I316,"Order now",IF(L316&lt;='Assumptions'!$B$8,"Review soon","Sufficient stock")))</x:f>
        <x:v>Sufficient stock</x:v>
      </x:c>
      <x:c r="N316" s="299" t="n">
        <x:f>K316*H316</x:f>
        <x:v>0</x:v>
      </x:c>
    </x:row>
    <x:row r="317" ht="16.5" customHeight="1">
      <x:c r="A317" s="278" t="str">
        <x:v>SKU0154</x:v>
      </x:c>
      <x:c r="B317" s="279" t="str">
        <x:v>Product 0154</x:v>
      </x:c>
      <x:c r="C317" s="279" t="str">
        <x:v>Store C</x:v>
      </x:c>
      <x:c r="D317" s="279" t="str">
        <x:v>Supplier 66</x:v>
      </x:c>
      <x:c r="E317" s="280" t="n">
        <x:v>32</x:v>
      </x:c>
      <x:c r="F317" s="280" t="n">
        <x:v>2.7391</x:v>
      </x:c>
      <x:c r="G317" s="281" t="n">
        <x:v>42.164</x:v>
      </x:c>
      <x:c r="H317" s="281" t="n">
        <x:v>0.332</x:v>
      </x:c>
      <x:c r="I317" s="281" t="n">
        <x:f>F317*'Assumptions'!$B$7*(1+'Assumptions'!$B$9)</x:f>
        <x:v>6.57384</x:v>
      </x:c>
      <x:c r="J317" s="281" t="n">
        <x:f>F317*('Assumptions'!$B$7+'Assumptions'!$B$8)*(1+'Assumptions'!$B$9)</x:f>
        <x:v>19.721519999999998</x:v>
      </x:c>
      <x:c r="K317" s="296" t="n">
        <x:f>MAX(0,ROUNDUP(J317-E317,0))</x:f>
        <x:v>0</x:v>
      </x:c>
      <x:c r="L317" s="298" t="n">
        <x:f>IF(F317=0,"",E317/F317)</x:f>
        <x:v>11.68266948997846</x:v>
      </x:c>
      <x:c r="M317" s="279" t="str">
        <x:f>IF(F317=0,IF(E317&gt;0,"No recent demand","No demand / no stock"),IF(E317&lt;=I317,"Order now",IF(L317&lt;='Assumptions'!$B$8,"Review soon","Sufficient stock")))</x:f>
        <x:v>Sufficient stock</x:v>
      </x:c>
      <x:c r="N317" s="300" t="n">
        <x:f>K317*H317</x:f>
        <x:v>0</x:v>
      </x:c>
    </x:row>
    <x:row r="318" ht="16.5" customHeight="1">
      <x:c r="A318" s="290" t="str">
        <x:v>SKU0509</x:v>
      </x:c>
      <x:c r="B318" s="291" t="str">
        <x:v>Product 0509</x:v>
      </x:c>
      <x:c r="C318" s="291" t="str">
        <x:v>Store A</x:v>
      </x:c>
      <x:c r="D318" s="291" t="str">
        <x:v>Supplier 57</x:v>
      </x:c>
      <x:c r="E318" s="292" t="n">
        <x:v>27</x:v>
      </x:c>
      <x:c r="F318" s="292" t="n">
        <x:v>2.7391</x:v>
      </x:c>
      <x:c r="G318" s="293" t="n">
        <x:v>69.9192</x:v>
      </x:c>
      <x:c r="H318" s="293" t="n">
        <x:v>0.7357</x:v>
      </x:c>
      <x:c r="I318" s="293" t="n">
        <x:f>F318*'Assumptions'!$B$7*(1+'Assumptions'!$B$9)</x:f>
        <x:v>6.57384</x:v>
      </x:c>
      <x:c r="J318" s="293" t="n">
        <x:f>F318*('Assumptions'!$B$7+'Assumptions'!$B$8)*(1+'Assumptions'!$B$9)</x:f>
        <x:v>19.721519999999998</x:v>
      </x:c>
      <x:c r="K318" s="295" t="n">
        <x:f>MAX(0,ROUNDUP(J318-E318,0))</x:f>
        <x:v>0</x:v>
      </x:c>
      <x:c r="L318" s="297" t="n">
        <x:f>IF(F318=0,"",E318/F318)</x:f>
        <x:v>9.857252382169325</x:v>
      </x:c>
      <x:c r="M318" s="291" t="str">
        <x:f>IF(F318=0,IF(E318&gt;0,"No recent demand","No demand / no stock"),IF(E318&lt;=I318,"Order now",IF(L318&lt;='Assumptions'!$B$8,"Review soon","Sufficient stock")))</x:f>
        <x:v>Sufficient stock</x:v>
      </x:c>
      <x:c r="N318" s="299" t="n">
        <x:f>K318*H318</x:f>
        <x:v>0</x:v>
      </x:c>
    </x:row>
    <x:row r="319" ht="16.5" customHeight="1">
      <x:c r="A319" s="278" t="str">
        <x:v>SKU0564</x:v>
      </x:c>
      <x:c r="B319" s="279" t="str">
        <x:v>Product 0564</x:v>
      </x:c>
      <x:c r="C319" s="279" t="str">
        <x:v>Store A</x:v>
      </x:c>
      <x:c r="D319" s="279" t="str">
        <x:v>Supplier 02</x:v>
      </x:c>
      <x:c r="E319" s="280" t="n">
        <x:v>0</x:v>
      </x:c>
      <x:c r="F319" s="280" t="n">
        <x:v>2.7391</x:v>
      </x:c>
      <x:c r="G319" s="281" t="n">
        <x:v>58.432</x:v>
      </x:c>
      <x:c r="H319" s="281" t="n">
        <x:v>0.4899</x:v>
      </x:c>
      <x:c r="I319" s="281" t="n">
        <x:f>F319*'Assumptions'!$B$7*(1+'Assumptions'!$B$9)</x:f>
        <x:v>6.57384</x:v>
      </x:c>
      <x:c r="J319" s="281" t="n">
        <x:f>F319*('Assumptions'!$B$7+'Assumptions'!$B$8)*(1+'Assumptions'!$B$9)</x:f>
        <x:v>19.721519999999998</x:v>
      </x:c>
      <x:c r="K319" s="296" t="n">
        <x:f>MAX(0,ROUNDUP(J319-E319,0))</x:f>
        <x:v>20</x:v>
      </x:c>
      <x:c r="L319" s="298" t="n">
        <x:f>IF(F319=0,"",E319/F319)</x:f>
        <x:v>0</x:v>
      </x:c>
      <x:c r="M319" s="279" t="str">
        <x:f>IF(F319=0,IF(E319&gt;0,"No recent demand","No demand / no stock"),IF(E319&lt;=I319,"Order now",IF(L319&lt;='Assumptions'!$B$8,"Review soon","Sufficient stock")))</x:f>
        <x:v>Order now</x:v>
      </x:c>
      <x:c r="N319" s="300" t="n">
        <x:f>K319*H319</x:f>
        <x:v>9.798</x:v>
      </x:c>
    </x:row>
    <x:row r="320" ht="16.5" customHeight="1">
      <x:c r="A320" s="290" t="str">
        <x:v>SKU0688</x:v>
      </x:c>
      <x:c r="B320" s="291" t="str">
        <x:v>Product 0688</x:v>
      </x:c>
      <x:c r="C320" s="291" t="str">
        <x:v>Store C</x:v>
      </x:c>
      <x:c r="D320" s="291" t="str">
        <x:v>Multiple suppliers</x:v>
      </x:c>
      <x:c r="E320" s="292" t="n">
        <x:v>43</x:v>
      </x:c>
      <x:c r="F320" s="292" t="n">
        <x:v>2.7391</x:v>
      </x:c>
      <x:c r="G320" s="293" t="n">
        <x:v>49.302</x:v>
      </x:c>
      <x:c r="H320" s="293" t="n">
        <x:v>0.3586</x:v>
      </x:c>
      <x:c r="I320" s="293" t="n">
        <x:f>F320*'Assumptions'!$B$7*(1+'Assumptions'!$B$9)</x:f>
        <x:v>6.57384</x:v>
      </x:c>
      <x:c r="J320" s="293" t="n">
        <x:f>F320*('Assumptions'!$B$7+'Assumptions'!$B$8)*(1+'Assumptions'!$B$9)</x:f>
        <x:v>19.721519999999998</x:v>
      </x:c>
      <x:c r="K320" s="295" t="n">
        <x:f>MAX(0,ROUNDUP(J320-E320,0))</x:f>
        <x:v>0</x:v>
      </x:c>
      <x:c r="L320" s="297" t="n">
        <x:f>IF(F320=0,"",E320/F320)</x:f>
        <x:v>15.698587127158556</x:v>
      </x:c>
      <x:c r="M320" s="291" t="str">
        <x:f>IF(F320=0,IF(E320&gt;0,"No recent demand","No demand / no stock"),IF(E320&lt;=I320,"Order now",IF(L320&lt;='Assumptions'!$B$8,"Review soon","Sufficient stock")))</x:f>
        <x:v>Sufficient stock</x:v>
      </x:c>
      <x:c r="N320" s="299" t="n">
        <x:f>K320*H320</x:f>
        <x:v>0</x:v>
      </x:c>
    </x:row>
    <x:row r="321" ht="16.5" customHeight="1">
      <x:c r="A321" s="278" t="str">
        <x:v>SKU0702</x:v>
      </x:c>
      <x:c r="B321" s="279" t="str">
        <x:v>Product 0702</x:v>
      </x:c>
      <x:c r="C321" s="279" t="str">
        <x:v>Store A</x:v>
      </x:c>
      <x:c r="D321" s="279" t="str">
        <x:v>Supplier 02</x:v>
      </x:c>
      <x:c r="E321" s="280" t="n">
        <x:v>2</x:v>
      </x:c>
      <x:c r="F321" s="280" t="n">
        <x:v>2.7391</x:v>
      </x:c>
      <x:c r="G321" s="281" t="n">
        <x:v>41.1348</x:v>
      </x:c>
      <x:c r="H321" s="281" t="n">
        <x:v>0.3503</x:v>
      </x:c>
      <x:c r="I321" s="281" t="n">
        <x:f>F321*'Assumptions'!$B$7*(1+'Assumptions'!$B$9)</x:f>
        <x:v>6.57384</x:v>
      </x:c>
      <x:c r="J321" s="281" t="n">
        <x:f>F321*('Assumptions'!$B$7+'Assumptions'!$B$8)*(1+'Assumptions'!$B$9)</x:f>
        <x:v>19.721519999999998</x:v>
      </x:c>
      <x:c r="K321" s="296" t="n">
        <x:f>MAX(0,ROUNDUP(J321-E321,0))</x:f>
        <x:v>18</x:v>
      </x:c>
      <x:c r="L321" s="298" t="n">
        <x:f>IF(F321=0,"",E321/F321)</x:f>
        <x:v>0.7301668431236538</x:v>
      </x:c>
      <x:c r="M321" s="279" t="str">
        <x:f>IF(F321=0,IF(E321&gt;0,"No recent demand","No demand / no stock"),IF(E321&lt;=I321,"Order now",IF(L321&lt;='Assumptions'!$B$8,"Review soon","Sufficient stock")))</x:f>
        <x:v>Order now</x:v>
      </x:c>
      <x:c r="N321" s="300" t="n">
        <x:f>K321*H321</x:f>
        <x:v>6.3054</x:v>
      </x:c>
    </x:row>
    <x:row r="322" ht="16.5" customHeight="1">
      <x:c r="A322" s="290" t="str">
        <x:v>SKU0850</x:v>
      </x:c>
      <x:c r="B322" s="291" t="str">
        <x:v>Product 0850</x:v>
      </x:c>
      <x:c r="C322" s="291" t="str">
        <x:v>Store C</x:v>
      </x:c>
      <x:c r="D322" s="291" t="str">
        <x:v>Supplier 43</x:v>
      </x:c>
      <x:c r="E322" s="292" t="n">
        <x:v>0</x:v>
      </x:c>
      <x:c r="F322" s="292" t="n">
        <x:v>2.7391</x:v>
      </x:c>
      <x:c r="G322" s="293" t="n">
        <x:v>16.0688</x:v>
      </x:c>
      <x:c r="H322" s="293" t="n">
        <x:v>0.2739</x:v>
      </x:c>
      <x:c r="I322" s="293" t="n">
        <x:f>F322*'Assumptions'!$B$7*(1+'Assumptions'!$B$9)</x:f>
        <x:v>6.57384</x:v>
      </x:c>
      <x:c r="J322" s="293" t="n">
        <x:f>F322*('Assumptions'!$B$7+'Assumptions'!$B$8)*(1+'Assumptions'!$B$9)</x:f>
        <x:v>19.721519999999998</x:v>
      </x:c>
      <x:c r="K322" s="295" t="n">
        <x:f>MAX(0,ROUNDUP(J322-E322,0))</x:f>
        <x:v>20</x:v>
      </x:c>
      <x:c r="L322" s="297" t="n">
        <x:f>IF(F322=0,"",E322/F322)</x:f>
        <x:v>0</x:v>
      </x:c>
      <x:c r="M322" s="291" t="str">
        <x:f>IF(F322=0,IF(E322&gt;0,"No recent demand","No demand / no stock"),IF(E322&lt;=I322,"Order now",IF(L322&lt;='Assumptions'!$B$8,"Review soon","Sufficient stock")))</x:f>
        <x:v>Order now</x:v>
      </x:c>
      <x:c r="N322" s="299" t="n">
        <x:f>K322*H322</x:f>
        <x:v>5.478</x:v>
      </x:c>
    </x:row>
    <x:row r="323" ht="16.5" customHeight="1">
      <x:c r="A323" s="278" t="str">
        <x:v>SKU0851</x:v>
      </x:c>
      <x:c r="B323" s="279" t="str">
        <x:v>Product 0851</x:v>
      </x:c>
      <x:c r="C323" s="279" t="str">
        <x:v>Store C</x:v>
      </x:c>
      <x:c r="D323" s="279" t="str">
        <x:v>Supplier 43</x:v>
      </x:c>
      <x:c r="E323" s="280" t="n">
        <x:v>0</x:v>
      </x:c>
      <x:c r="F323" s="280" t="n">
        <x:v>2.7391</x:v>
      </x:c>
      <x:c r="G323" s="281" t="n">
        <x:v>15.9775</x:v>
      </x:c>
      <x:c r="H323" s="281" t="n">
        <x:v>0</x:v>
      </x:c>
      <x:c r="I323" s="281" t="n">
        <x:f>F323*'Assumptions'!$B$7*(1+'Assumptions'!$B$9)</x:f>
        <x:v>6.57384</x:v>
      </x:c>
      <x:c r="J323" s="281" t="n">
        <x:f>F323*('Assumptions'!$B$7+'Assumptions'!$B$8)*(1+'Assumptions'!$B$9)</x:f>
        <x:v>19.721519999999998</x:v>
      </x:c>
      <x:c r="K323" s="296" t="n">
        <x:f>MAX(0,ROUNDUP(J323-E323,0))</x:f>
        <x:v>20</x:v>
      </x:c>
      <x:c r="L323" s="298" t="n">
        <x:f>IF(F323=0,"",E323/F323)</x:f>
        <x:v>0</x:v>
      </x:c>
      <x:c r="M323" s="279" t="str">
        <x:f>IF(F323=0,IF(E323&gt;0,"No recent demand","No demand / no stock"),IF(E323&lt;=I323,"Order now",IF(L323&lt;='Assumptions'!$B$8,"Review soon","Sufficient stock")))</x:f>
        <x:v>Order now</x:v>
      </x:c>
      <x:c r="N323" s="300" t="n">
        <x:f>K323*H323</x:f>
        <x:v>0</x:v>
      </x:c>
    </x:row>
    <x:row r="324" ht="16.5" customHeight="1">
      <x:c r="A324" s="290" t="str">
        <x:v>SKU0887</x:v>
      </x:c>
      <x:c r="B324" s="291" t="str">
        <x:v>Product 0887</x:v>
      </x:c>
      <x:c r="C324" s="291" t="str">
        <x:v>Store C</x:v>
      </x:c>
      <x:c r="D324" s="291" t="str">
        <x:v>Supplier 02</x:v>
      </x:c>
      <x:c r="E324" s="292" t="n">
        <x:v>43</x:v>
      </x:c>
      <x:c r="F324" s="292" t="n">
        <x:v>2.7391</x:v>
      </x:c>
      <x:c r="G324" s="293" t="n">
        <x:v>41.832</x:v>
      </x:c>
      <x:c r="H324" s="293" t="n">
        <x:v>0.2598</x:v>
      </x:c>
      <x:c r="I324" s="293" t="n">
        <x:f>F324*'Assumptions'!$B$7*(1+'Assumptions'!$B$9)</x:f>
        <x:v>6.57384</x:v>
      </x:c>
      <x:c r="J324" s="293" t="n">
        <x:f>F324*('Assumptions'!$B$7+'Assumptions'!$B$8)*(1+'Assumptions'!$B$9)</x:f>
        <x:v>19.721519999999998</x:v>
      </x:c>
      <x:c r="K324" s="295" t="n">
        <x:f>MAX(0,ROUNDUP(J324-E324,0))</x:f>
        <x:v>0</x:v>
      </x:c>
      <x:c r="L324" s="297" t="n">
        <x:f>IF(F324=0,"",E324/F324)</x:f>
        <x:v>15.698587127158556</x:v>
      </x:c>
      <x:c r="M324" s="291" t="str">
        <x:f>IF(F324=0,IF(E324&gt;0,"No recent demand","No demand / no stock"),IF(E324&lt;=I324,"Order now",IF(L324&lt;='Assumptions'!$B$8,"Review soon","Sufficient stock")))</x:f>
        <x:v>Sufficient stock</x:v>
      </x:c>
      <x:c r="N324" s="299" t="n">
        <x:f>K324*H324</x:f>
        <x:v>0</x:v>
      </x:c>
    </x:row>
    <x:row r="325" ht="16.5" customHeight="1">
      <x:c r="A325" s="278" t="str">
        <x:v>SKU0950</x:v>
      </x:c>
      <x:c r="B325" s="279" t="str">
        <x:v>Product 0950</x:v>
      </x:c>
      <x:c r="C325" s="279" t="str">
        <x:v>Store A</x:v>
      </x:c>
      <x:c r="D325" s="279" t="str">
        <x:v>Supplier 02</x:v>
      </x:c>
      <x:c r="E325" s="280" t="n">
        <x:v>56</x:v>
      </x:c>
      <x:c r="F325" s="280" t="n">
        <x:v>2.7391</x:v>
      </x:c>
      <x:c r="G325" s="281" t="n">
        <x:v>17.7786</x:v>
      </x:c>
      <x:c r="H325" s="281" t="n">
        <x:v>0.1743</x:v>
      </x:c>
      <x:c r="I325" s="281" t="n">
        <x:f>F325*'Assumptions'!$B$7*(1+'Assumptions'!$B$9)</x:f>
        <x:v>6.57384</x:v>
      </x:c>
      <x:c r="J325" s="281" t="n">
        <x:f>F325*('Assumptions'!$B$7+'Assumptions'!$B$8)*(1+'Assumptions'!$B$9)</x:f>
        <x:v>19.721519999999998</x:v>
      </x:c>
      <x:c r="K325" s="296" t="n">
        <x:f>MAX(0,ROUNDUP(J325-E325,0))</x:f>
        <x:v>0</x:v>
      </x:c>
      <x:c r="L325" s="298" t="n">
        <x:f>IF(F325=0,"",E325/F325)</x:f>
        <x:v>20.444671607462304</x:v>
      </x:c>
      <x:c r="M325" s="279" t="str">
        <x:f>IF(F325=0,IF(E325&gt;0,"No recent demand","No demand / no stock"),IF(E325&lt;=I325,"Order now",IF(L325&lt;='Assumptions'!$B$8,"Review soon","Sufficient stock")))</x:f>
        <x:v>Sufficient stock</x:v>
      </x:c>
      <x:c r="N325" s="300" t="n">
        <x:f>K325*H325</x:f>
        <x:v>0</x:v>
      </x:c>
    </x:row>
    <x:row r="326" ht="16.5" customHeight="1">
      <x:c r="A326" s="290" t="str">
        <x:v>SKU1009</x:v>
      </x:c>
      <x:c r="B326" s="291" t="str">
        <x:v>Product 1009</x:v>
      </x:c>
      <x:c r="C326" s="291" t="str">
        <x:v>Store A</x:v>
      </x:c>
      <x:c r="D326" s="291" t="str">
        <x:v>Supplier 03</x:v>
      </x:c>
      <x:c r="E326" s="292" t="n">
        <x:v>40</x:v>
      </x:c>
      <x:c r="F326" s="292" t="n">
        <x:v>2.7391</x:v>
      </x:c>
      <x:c r="G326" s="293" t="n">
        <x:v>46.4136</x:v>
      </x:c>
      <x:c r="H326" s="293" t="n">
        <x:v>0.4648</x:v>
      </x:c>
      <x:c r="I326" s="293" t="n">
        <x:f>F326*'Assumptions'!$B$7*(1+'Assumptions'!$B$9)</x:f>
        <x:v>6.57384</x:v>
      </x:c>
      <x:c r="J326" s="293" t="n">
        <x:f>F326*('Assumptions'!$B$7+'Assumptions'!$B$8)*(1+'Assumptions'!$B$9)</x:f>
        <x:v>19.721519999999998</x:v>
      </x:c>
      <x:c r="K326" s="295" t="n">
        <x:f>MAX(0,ROUNDUP(J326-E326,0))</x:f>
        <x:v>0</x:v>
      </x:c>
      <x:c r="L326" s="297" t="n">
        <x:f>IF(F326=0,"",E326/F326)</x:f>
        <x:v>14.603336862473075</x:v>
      </x:c>
      <x:c r="M326" s="291" t="str">
        <x:f>IF(F326=0,IF(E326&gt;0,"No recent demand","No demand / no stock"),IF(E326&lt;=I326,"Order now",IF(L326&lt;='Assumptions'!$B$8,"Review soon","Sufficient stock")))</x:f>
        <x:v>Sufficient stock</x:v>
      </x:c>
      <x:c r="N326" s="299" t="n">
        <x:f>K326*H326</x:f>
        <x:v>0</x:v>
      </x:c>
    </x:row>
    <x:row r="327" ht="16.5" customHeight="1">
      <x:c r="A327" s="278" t="str">
        <x:v>SKU1249</x:v>
      </x:c>
      <x:c r="B327" s="279" t="str">
        <x:v>Product 1249</x:v>
      </x:c>
      <x:c r="C327" s="279" t="str">
        <x:v>Store A</x:v>
      </x:c>
      <x:c r="D327" s="279" t="str">
        <x:v>Supplier 24</x:v>
      </x:c>
      <x:c r="E327" s="280" t="n">
        <x:v>16</x:v>
      </x:c>
      <x:c r="F327" s="280" t="n">
        <x:v>2.7391</x:v>
      </x:c>
      <x:c r="G327" s="281" t="n">
        <x:v>27.5643</x:v>
      </x:c>
      <x:c r="H327" s="281" t="n">
        <x:v>0.3154</x:v>
      </x:c>
      <x:c r="I327" s="281" t="n">
        <x:f>F327*'Assumptions'!$B$7*(1+'Assumptions'!$B$9)</x:f>
        <x:v>6.57384</x:v>
      </x:c>
      <x:c r="J327" s="281" t="n">
        <x:f>F327*('Assumptions'!$B$7+'Assumptions'!$B$8)*(1+'Assumptions'!$B$9)</x:f>
        <x:v>19.721519999999998</x:v>
      </x:c>
      <x:c r="K327" s="296" t="n">
        <x:f>MAX(0,ROUNDUP(J327-E327,0))</x:f>
        <x:v>4</x:v>
      </x:c>
      <x:c r="L327" s="298" t="n">
        <x:f>IF(F327=0,"",E327/F327)</x:f>
        <x:v>5.84133474498923</x:v>
      </x:c>
      <x:c r="M327" s="279" t="str">
        <x:f>IF(F327=0,IF(E327&gt;0,"No recent demand","No demand / no stock"),IF(E327&lt;=I327,"Order now",IF(L327&lt;='Assumptions'!$B$8,"Review soon","Sufficient stock")))</x:f>
        <x:v>Sufficient stock</x:v>
      </x:c>
      <x:c r="N327" s="300" t="n">
        <x:f>K327*H327</x:f>
        <x:v>1.2616</x:v>
      </x:c>
    </x:row>
    <x:row r="328" ht="16.5" customHeight="1">
      <x:c r="A328" s="290" t="str">
        <x:v>SKU1559</x:v>
      </x:c>
      <x:c r="B328" s="291" t="str">
        <x:v>Product 1559</x:v>
      </x:c>
      <x:c r="C328" s="291" t="str">
        <x:v>Store A</x:v>
      </x:c>
      <x:c r="D328" s="291" t="str">
        <x:v>Supplier 24</x:v>
      </x:c>
      <x:c r="E328" s="292" t="n">
        <x:v>21</x:v>
      </x:c>
      <x:c r="F328" s="292" t="n">
        <x:v>2.7391</x:v>
      </x:c>
      <x:c r="G328" s="293" t="n">
        <x:v>26.8588</x:v>
      </x:c>
      <x:c r="H328" s="293" t="n">
        <x:v>0.3818</x:v>
      </x:c>
      <x:c r="I328" s="293" t="n">
        <x:f>F328*'Assumptions'!$B$7*(1+'Assumptions'!$B$9)</x:f>
        <x:v>6.57384</x:v>
      </x:c>
      <x:c r="J328" s="293" t="n">
        <x:f>F328*('Assumptions'!$B$7+'Assumptions'!$B$8)*(1+'Assumptions'!$B$9)</x:f>
        <x:v>19.721519999999998</x:v>
      </x:c>
      <x:c r="K328" s="295" t="n">
        <x:f>MAX(0,ROUNDUP(J328-E328,0))</x:f>
        <x:v>0</x:v>
      </x:c>
      <x:c r="L328" s="297" t="n">
        <x:f>IF(F328=0,"",E328/F328)</x:f>
        <x:v>7.666751852798364</x:v>
      </x:c>
      <x:c r="M328" s="291" t="str">
        <x:f>IF(F328=0,IF(E328&gt;0,"No recent demand","No demand / no stock"),IF(E328&lt;=I328,"Order now",IF(L328&lt;='Assumptions'!$B$8,"Review soon","Sufficient stock")))</x:f>
        <x:v>Sufficient stock</x:v>
      </x:c>
      <x:c r="N328" s="299" t="n">
        <x:f>K328*H328</x:f>
        <x:v>0</x:v>
      </x:c>
    </x:row>
    <x:row r="329" ht="16.5" customHeight="1">
      <x:c r="A329" s="278" t="str">
        <x:v>SKU1647</x:v>
      </x:c>
      <x:c r="B329" s="279" t="str">
        <x:v>Product 1647</x:v>
      </x:c>
      <x:c r="C329" s="279" t="str">
        <x:v>Store B</x:v>
      </x:c>
      <x:c r="D329" s="279" t="str">
        <x:v>Supplier 75</x:v>
      </x:c>
      <x:c r="E329" s="280" t="n">
        <x:v>37</x:v>
      </x:c>
      <x:c r="F329" s="280" t="n">
        <x:v>2.7391</x:v>
      </x:c>
      <x:c r="G329" s="281" t="n">
        <x:v>66.7071</x:v>
      </x:c>
      <x:c r="H329" s="281" t="n">
        <x:v>1.0458</x:v>
      </x:c>
      <x:c r="I329" s="281" t="n">
        <x:f>F329*'Assumptions'!$B$7*(1+'Assumptions'!$B$9)</x:f>
        <x:v>6.57384</x:v>
      </x:c>
      <x:c r="J329" s="281" t="n">
        <x:f>F329*('Assumptions'!$B$7+'Assumptions'!$B$8)*(1+'Assumptions'!$B$9)</x:f>
        <x:v>19.721519999999998</x:v>
      </x:c>
      <x:c r="K329" s="296" t="n">
        <x:f>MAX(0,ROUNDUP(J329-E329,0))</x:f>
        <x:v>0</x:v>
      </x:c>
      <x:c r="L329" s="298" t="n">
        <x:f>IF(F329=0,"",E329/F329)</x:f>
        <x:v>13.508086597787594</x:v>
      </x:c>
      <x:c r="M329" s="279" t="str">
        <x:f>IF(F329=0,IF(E329&gt;0,"No recent demand","No demand / no stock"),IF(E329&lt;=I329,"Order now",IF(L329&lt;='Assumptions'!$B$8,"Review soon","Sufficient stock")))</x:f>
        <x:v>Sufficient stock</x:v>
      </x:c>
      <x:c r="N329" s="300" t="n">
        <x:f>K329*H329</x:f>
        <x:v>0</x:v>
      </x:c>
    </x:row>
    <x:row r="330" ht="16.5" customHeight="1">
      <x:c r="A330" s="290" t="str">
        <x:v>SKU1729</x:v>
      </x:c>
      <x:c r="B330" s="291" t="str">
        <x:v>Product 1729</x:v>
      </x:c>
      <x:c r="C330" s="291" t="str">
        <x:v>Store B</x:v>
      </x:c>
      <x:c r="D330" s="291" t="str">
        <x:v>Supplier 09</x:v>
      </x:c>
      <x:c r="E330" s="292" t="n">
        <x:v>0</x:v>
      </x:c>
      <x:c r="F330" s="292" t="n">
        <x:v>2.7391</x:v>
      </x:c>
      <x:c r="G330" s="293" t="n">
        <x:v>115.868</x:v>
      </x:c>
      <x:c r="H330" s="293" t="n">
        <x:v>1.1952</x:v>
      </x:c>
      <x:c r="I330" s="293" t="n">
        <x:f>F330*'Assumptions'!$B$7*(1+'Assumptions'!$B$9)</x:f>
        <x:v>6.57384</x:v>
      </x:c>
      <x:c r="J330" s="293" t="n">
        <x:f>F330*('Assumptions'!$B$7+'Assumptions'!$B$8)*(1+'Assumptions'!$B$9)</x:f>
        <x:v>19.721519999999998</x:v>
      </x:c>
      <x:c r="K330" s="295" t="n">
        <x:f>MAX(0,ROUNDUP(J330-E330,0))</x:f>
        <x:v>20</x:v>
      </x:c>
      <x:c r="L330" s="297" t="n">
        <x:f>IF(F330=0,"",E330/F330)</x:f>
        <x:v>0</x:v>
      </x:c>
      <x:c r="M330" s="291" t="str">
        <x:f>IF(F330=0,IF(E330&gt;0,"No recent demand","No demand / no stock"),IF(E330&lt;=I330,"Order now",IF(L330&lt;='Assumptions'!$B$8,"Review soon","Sufficient stock")))</x:f>
        <x:v>Order now</x:v>
      </x:c>
      <x:c r="N330" s="299" t="n">
        <x:f>K330*H330</x:f>
        <x:v>23.904</x:v>
      </x:c>
    </x:row>
    <x:row r="331" ht="16.5" customHeight="1">
      <x:c r="A331" s="278" t="str">
        <x:v>SKU0061</x:v>
      </x:c>
      <x:c r="B331" s="279" t="str">
        <x:v>Product 0061</x:v>
      </x:c>
      <x:c r="C331" s="279" t="str">
        <x:v>Store B</x:v>
      </x:c>
      <x:c r="D331" s="279" t="str">
        <x:v>Supplier 68</x:v>
      </x:c>
      <x:c r="E331" s="280" t="n">
        <x:v>1</x:v>
      </x:c>
      <x:c r="F331" s="280" t="n">
        <x:v>2.663</x:v>
      </x:c>
      <x:c r="G331" s="281" t="n">
        <x:v>25.6968</x:v>
      </x:c>
      <x:c r="H331" s="281" t="n">
        <x:v>0.3403</x:v>
      </x:c>
      <x:c r="I331" s="281" t="n">
        <x:f>F331*'Assumptions'!$B$7*(1+'Assumptions'!$B$9)</x:f>
        <x:v>6.3911999999999995</x:v>
      </x:c>
      <x:c r="J331" s="281" t="n">
        <x:f>F331*('Assumptions'!$B$7+'Assumptions'!$B$8)*(1+'Assumptions'!$B$9)</x:f>
        <x:v>19.173599999999997</x:v>
      </x:c>
      <x:c r="K331" s="296" t="n">
        <x:f>MAX(0,ROUNDUP(J331-E331,0))</x:f>
        <x:v>19</x:v>
      </x:c>
      <x:c r="L331" s="298" t="n">
        <x:f>IF(F331=0,"",E331/F331)</x:f>
        <x:v>0.3755163349605708</x:v>
      </x:c>
      <x:c r="M331" s="279" t="str">
        <x:f>IF(F331=0,IF(E331&gt;0,"No recent demand","No demand / no stock"),IF(E331&lt;=I331,"Order now",IF(L331&lt;='Assumptions'!$B$8,"Review soon","Sufficient stock")))</x:f>
        <x:v>Order now</x:v>
      </x:c>
      <x:c r="N331" s="300" t="n">
        <x:f>K331*H331</x:f>
        <x:v>6.4657</x:v>
      </x:c>
    </x:row>
    <x:row r="332" ht="16.5" customHeight="1">
      <x:c r="A332" s="290" t="str">
        <x:v>SKU0091</x:v>
      </x:c>
      <x:c r="B332" s="291" t="str">
        <x:v>Product 0091</x:v>
      </x:c>
      <x:c r="C332" s="291" t="str">
        <x:v>Store C</x:v>
      </x:c>
      <x:c r="D332" s="291" t="str">
        <x:v>Supplier 68</x:v>
      </x:c>
      <x:c r="E332" s="292" t="n">
        <x:v>23</x:v>
      </x:c>
      <x:c r="F332" s="292" t="n">
        <x:v>2.663</x:v>
      </x:c>
      <x:c r="G332" s="293" t="n">
        <x:v>29.6725</x:v>
      </x:c>
      <x:c r="H332" s="293" t="n">
        <x:v>0.3735</x:v>
      </x:c>
      <x:c r="I332" s="293" t="n">
        <x:f>F332*'Assumptions'!$B$7*(1+'Assumptions'!$B$9)</x:f>
        <x:v>6.3911999999999995</x:v>
      </x:c>
      <x:c r="J332" s="293" t="n">
        <x:f>F332*('Assumptions'!$B$7+'Assumptions'!$B$8)*(1+'Assumptions'!$B$9)</x:f>
        <x:v>19.173599999999997</x:v>
      </x:c>
      <x:c r="K332" s="295" t="n">
        <x:f>MAX(0,ROUNDUP(J332-E332,0))</x:f>
        <x:v>0</x:v>
      </x:c>
      <x:c r="L332" s="297" t="n">
        <x:f>IF(F332=0,"",E332/F332)</x:f>
        <x:v>8.636875704093129</x:v>
      </x:c>
      <x:c r="M332" s="291" t="str">
        <x:f>IF(F332=0,IF(E332&gt;0,"No recent demand","No demand / no stock"),IF(E332&lt;=I332,"Order now",IF(L332&lt;='Assumptions'!$B$8,"Review soon","Sufficient stock")))</x:f>
        <x:v>Sufficient stock</x:v>
      </x:c>
      <x:c r="N332" s="299" t="n">
        <x:f>K332*H332</x:f>
        <x:v>0</x:v>
      </x:c>
    </x:row>
    <x:row r="333" ht="16.5" customHeight="1">
      <x:c r="A333" s="278" t="str">
        <x:v>SKU0564</x:v>
      </x:c>
      <x:c r="B333" s="279" t="str">
        <x:v>Product 0564</x:v>
      </x:c>
      <x:c r="C333" s="279" t="str">
        <x:v>Store B</x:v>
      </x:c>
      <x:c r="D333" s="279" t="str">
        <x:v>Supplier 02</x:v>
      </x:c>
      <x:c r="E333" s="280" t="n">
        <x:v>0</x:v>
      </x:c>
      <x:c r="F333" s="280" t="n">
        <x:v>2.663</x:v>
      </x:c>
      <x:c r="G333" s="281" t="n">
        <x:v>57.436</x:v>
      </x:c>
      <x:c r="H333" s="281" t="n">
        <x:v>0.4901</x:v>
      </x:c>
      <x:c r="I333" s="281" t="n">
        <x:f>F333*'Assumptions'!$B$7*(1+'Assumptions'!$B$9)</x:f>
        <x:v>6.3911999999999995</x:v>
      </x:c>
      <x:c r="J333" s="281" t="n">
        <x:f>F333*('Assumptions'!$B$7+'Assumptions'!$B$8)*(1+'Assumptions'!$B$9)</x:f>
        <x:v>19.173599999999997</x:v>
      </x:c>
      <x:c r="K333" s="296" t="n">
        <x:f>MAX(0,ROUNDUP(J333-E333,0))</x:f>
        <x:v>20</x:v>
      </x:c>
      <x:c r="L333" s="298" t="n">
        <x:f>IF(F333=0,"",E333/F333)</x:f>
        <x:v>0</x:v>
      </x:c>
      <x:c r="M333" s="279" t="str">
        <x:f>IF(F333=0,IF(E333&gt;0,"No recent demand","No demand / no stock"),IF(E333&lt;=I333,"Order now",IF(L333&lt;='Assumptions'!$B$8,"Review soon","Sufficient stock")))</x:f>
        <x:v>Order now</x:v>
      </x:c>
      <x:c r="N333" s="300" t="n">
        <x:f>K333*H333</x:f>
        <x:v>9.802</x:v>
      </x:c>
    </x:row>
    <x:row r="334" ht="16.5" customHeight="1">
      <x:c r="A334" s="290" t="str">
        <x:v>SKU0738</x:v>
      </x:c>
      <x:c r="B334" s="291" t="str">
        <x:v>Product 0738</x:v>
      </x:c>
      <x:c r="C334" s="291" t="str">
        <x:v>Store B</x:v>
      </x:c>
      <x:c r="D334" s="291" t="str">
        <x:v>Supplier 69</x:v>
      </x:c>
      <x:c r="E334" s="292" t="n">
        <x:v>40</x:v>
      </x:c>
      <x:c r="F334" s="292" t="n">
        <x:v>2.663</x:v>
      </x:c>
      <x:c r="G334" s="293" t="n">
        <x:v>52.1406</x:v>
      </x:c>
      <x:c r="H334" s="293" t="n">
        <x:v>0.6391</x:v>
      </x:c>
      <x:c r="I334" s="293" t="n">
        <x:f>F334*'Assumptions'!$B$7*(1+'Assumptions'!$B$9)</x:f>
        <x:v>6.3911999999999995</x:v>
      </x:c>
      <x:c r="J334" s="293" t="n">
        <x:f>F334*('Assumptions'!$B$7+'Assumptions'!$B$8)*(1+'Assumptions'!$B$9)</x:f>
        <x:v>19.173599999999997</x:v>
      </x:c>
      <x:c r="K334" s="295" t="n">
        <x:f>MAX(0,ROUNDUP(J334-E334,0))</x:f>
        <x:v>0</x:v>
      </x:c>
      <x:c r="L334" s="297" t="n">
        <x:f>IF(F334=0,"",E334/F334)</x:f>
        <x:v>15.020653398422832</x:v>
      </x:c>
      <x:c r="M334" s="291" t="str">
        <x:f>IF(F334=0,IF(E334&gt;0,"No recent demand","No demand / no stock"),IF(E334&lt;=I334,"Order now",IF(L334&lt;='Assumptions'!$B$8,"Review soon","Sufficient stock")))</x:f>
        <x:v>Sufficient stock</x:v>
      </x:c>
      <x:c r="N334" s="299" t="n">
        <x:f>K334*H334</x:f>
        <x:v>0</x:v>
      </x:c>
    </x:row>
    <x:row r="335" ht="16.5" customHeight="1">
      <x:c r="A335" s="278" t="str">
        <x:v>SKU0874</x:v>
      </x:c>
      <x:c r="B335" s="279" t="str">
        <x:v>Product 0874</x:v>
      </x:c>
      <x:c r="C335" s="279" t="str">
        <x:v>Store B</x:v>
      </x:c>
      <x:c r="D335" s="279" t="str">
        <x:v>Supplier 19</x:v>
      </x:c>
      <x:c r="E335" s="280" t="n">
        <x:v>15</x:v>
      </x:c>
      <x:c r="F335" s="280" t="n">
        <x:v>2.663</x:v>
      </x:c>
      <x:c r="G335" s="281" t="n">
        <x:v>11.454</x:v>
      </x:c>
      <x:c r="H335" s="281" t="n">
        <x:v>0.1245</x:v>
      </x:c>
      <x:c r="I335" s="281" t="n">
        <x:f>F335*'Assumptions'!$B$7*(1+'Assumptions'!$B$9)</x:f>
        <x:v>6.3911999999999995</x:v>
      </x:c>
      <x:c r="J335" s="281" t="n">
        <x:f>F335*('Assumptions'!$B$7+'Assumptions'!$B$8)*(1+'Assumptions'!$B$9)</x:f>
        <x:v>19.173599999999997</x:v>
      </x:c>
      <x:c r="K335" s="296" t="n">
        <x:f>MAX(0,ROUNDUP(J335-E335,0))</x:f>
        <x:v>5</x:v>
      </x:c>
      <x:c r="L335" s="298" t="n">
        <x:f>IF(F335=0,"",E335/F335)</x:f>
        <x:v>5.632745024408562</x:v>
      </x:c>
      <x:c r="M335" s="279" t="str">
        <x:f>IF(F335=0,IF(E335&gt;0,"No recent demand","No demand / no stock"),IF(E335&lt;=I335,"Order now",IF(L335&lt;='Assumptions'!$B$8,"Review soon","Sufficient stock")))</x:f>
        <x:v>Sufficient stock</x:v>
      </x:c>
      <x:c r="N335" s="300" t="n">
        <x:f>K335*H335</x:f>
        <x:v>0.6225</x:v>
      </x:c>
    </x:row>
    <x:row r="336" ht="16.5" customHeight="1">
      <x:c r="A336" s="290" t="str">
        <x:v>SKU1030</x:v>
      </x:c>
      <x:c r="B336" s="291" t="str">
        <x:v>Product 1030</x:v>
      </x:c>
      <x:c r="C336" s="291" t="str">
        <x:v>Store C</x:v>
      </x:c>
      <x:c r="D336" s="291" t="str">
        <x:v>Supplier 69</x:v>
      </x:c>
      <x:c r="E336" s="292" t="n">
        <x:v>10</x:v>
      </x:c>
      <x:c r="F336" s="292" t="n">
        <x:v>2.663</x:v>
      </x:c>
      <x:c r="G336" s="293" t="n">
        <x:v>23.24</x:v>
      </x:c>
      <x:c r="H336" s="293" t="n">
        <x:v>0.4399</x:v>
      </x:c>
      <x:c r="I336" s="293" t="n">
        <x:f>F336*'Assumptions'!$B$7*(1+'Assumptions'!$B$9)</x:f>
        <x:v>6.3911999999999995</x:v>
      </x:c>
      <x:c r="J336" s="293" t="n">
        <x:f>F336*('Assumptions'!$B$7+'Assumptions'!$B$8)*(1+'Assumptions'!$B$9)</x:f>
        <x:v>19.173599999999997</x:v>
      </x:c>
      <x:c r="K336" s="295" t="n">
        <x:f>MAX(0,ROUNDUP(J336-E336,0))</x:f>
        <x:v>10</x:v>
      </x:c>
      <x:c r="L336" s="297" t="n">
        <x:f>IF(F336=0,"",E336/F336)</x:f>
        <x:v>3.755163349605708</x:v>
      </x:c>
      <x:c r="M336" s="291" t="str">
        <x:f>IF(F336=0,IF(E336&gt;0,"No recent demand","No demand / no stock"),IF(E336&lt;=I336,"Order now",IF(L336&lt;='Assumptions'!$B$8,"Review soon","Sufficient stock")))</x:f>
        <x:v>Review soon</x:v>
      </x:c>
      <x:c r="N336" s="299" t="n">
        <x:f>K336*H336</x:f>
        <x:v>4.399</x:v>
      </x:c>
    </x:row>
    <x:row r="337" ht="16.5" customHeight="1">
      <x:c r="A337" s="278" t="str">
        <x:v>SKU1048</x:v>
      </x:c>
      <x:c r="B337" s="279" t="str">
        <x:v>Product 1048</x:v>
      </x:c>
      <x:c r="C337" s="279" t="str">
        <x:v>Store C</x:v>
      </x:c>
      <x:c r="D337" s="279" t="str">
        <x:v>Supplier 05</x:v>
      </x:c>
      <x:c r="E337" s="280" t="n">
        <x:v>16</x:v>
      </x:c>
      <x:c r="F337" s="280" t="n">
        <x:v>2.663</x:v>
      </x:c>
      <x:c r="G337" s="281" t="n">
        <x:v>43.575</x:v>
      </x:c>
      <x:c r="H337" s="281" t="n">
        <x:v>0.4067</x:v>
      </x:c>
      <x:c r="I337" s="281" t="n">
        <x:f>F337*'Assumptions'!$B$7*(1+'Assumptions'!$B$9)</x:f>
        <x:v>6.3911999999999995</x:v>
      </x:c>
      <x:c r="J337" s="281" t="n">
        <x:f>F337*('Assumptions'!$B$7+'Assumptions'!$B$8)*(1+'Assumptions'!$B$9)</x:f>
        <x:v>19.173599999999997</x:v>
      </x:c>
      <x:c r="K337" s="296" t="n">
        <x:f>MAX(0,ROUNDUP(J337-E337,0))</x:f>
        <x:v>4</x:v>
      </x:c>
      <x:c r="L337" s="298" t="n">
        <x:f>IF(F337=0,"",E337/F337)</x:f>
        <x:v>6.008261359369133</x:v>
      </x:c>
      <x:c r="M337" s="279" t="str">
        <x:f>IF(F337=0,IF(E337&gt;0,"No recent demand","No demand / no stock"),IF(E337&lt;=I337,"Order now",IF(L337&lt;='Assumptions'!$B$8,"Review soon","Sufficient stock")))</x:f>
        <x:v>Sufficient stock</x:v>
      </x:c>
      <x:c r="N337" s="300" t="n">
        <x:f>K337*H337</x:f>
        <x:v>1.6268</x:v>
      </x:c>
    </x:row>
    <x:row r="338" ht="16.5" customHeight="1">
      <x:c r="A338" s="290" t="str">
        <x:v>SKU1098</x:v>
      </x:c>
      <x:c r="B338" s="291" t="str">
        <x:v>Product 1098</x:v>
      </x:c>
      <x:c r="C338" s="291" t="str">
        <x:v>Store A</x:v>
      </x:c>
      <x:c r="D338" s="291" t="str">
        <x:v>Supplier 09</x:v>
      </x:c>
      <x:c r="E338" s="292" t="n">
        <x:v>0</x:v>
      </x:c>
      <x:c r="F338" s="292" t="n">
        <x:v>2.663</x:v>
      </x:c>
      <x:c r="G338" s="293" t="n">
        <x:v>45.152</x:v>
      </x:c>
      <x:c r="H338" s="293" t="n">
        <x:v>0.6557</x:v>
      </x:c>
      <x:c r="I338" s="293" t="n">
        <x:f>F338*'Assumptions'!$B$7*(1+'Assumptions'!$B$9)</x:f>
        <x:v>6.3911999999999995</x:v>
      </x:c>
      <x:c r="J338" s="293" t="n">
        <x:f>F338*('Assumptions'!$B$7+'Assumptions'!$B$8)*(1+'Assumptions'!$B$9)</x:f>
        <x:v>19.173599999999997</x:v>
      </x:c>
      <x:c r="K338" s="295" t="n">
        <x:f>MAX(0,ROUNDUP(J338-E338,0))</x:f>
        <x:v>20</x:v>
      </x:c>
      <x:c r="L338" s="297" t="n">
        <x:f>IF(F338=0,"",E338/F338)</x:f>
        <x:v>0</x:v>
      </x:c>
      <x:c r="M338" s="291" t="str">
        <x:f>IF(F338=0,IF(E338&gt;0,"No recent demand","No demand / no stock"),IF(E338&lt;=I338,"Order now",IF(L338&lt;='Assumptions'!$B$8,"Review soon","Sufficient stock")))</x:f>
        <x:v>Order now</x:v>
      </x:c>
      <x:c r="N338" s="299" t="n">
        <x:f>K338*H338</x:f>
        <x:v>13.113999999999999</x:v>
      </x:c>
    </x:row>
    <x:row r="339" ht="16.5" customHeight="1">
      <x:c r="A339" s="278" t="str">
        <x:v>SKU1609</x:v>
      </x:c>
      <x:c r="B339" s="279" t="str">
        <x:v>Product 1609</x:v>
      </x:c>
      <x:c r="C339" s="279" t="str">
        <x:v>Store A</x:v>
      </x:c>
      <x:c r="D339" s="279" t="str">
        <x:v>Supplier 07</x:v>
      </x:c>
      <x:c r="E339" s="280" t="n">
        <x:v>1</x:v>
      </x:c>
      <x:c r="F339" s="280" t="n">
        <x:v>2.663</x:v>
      </x:c>
      <x:c r="G339" s="281" t="n">
        <x:v>47.974</x:v>
      </x:c>
      <x:c r="H339" s="281" t="n">
        <x:v>0.6641</x:v>
      </x:c>
      <x:c r="I339" s="281" t="n">
        <x:f>F339*'Assumptions'!$B$7*(1+'Assumptions'!$B$9)</x:f>
        <x:v>6.3911999999999995</x:v>
      </x:c>
      <x:c r="J339" s="281" t="n">
        <x:f>F339*('Assumptions'!$B$7+'Assumptions'!$B$8)*(1+'Assumptions'!$B$9)</x:f>
        <x:v>19.173599999999997</x:v>
      </x:c>
      <x:c r="K339" s="296" t="n">
        <x:f>MAX(0,ROUNDUP(J339-E339,0))</x:f>
        <x:v>19</x:v>
      </x:c>
      <x:c r="L339" s="298" t="n">
        <x:f>IF(F339=0,"",E339/F339)</x:f>
        <x:v>0.3755163349605708</x:v>
      </x:c>
      <x:c r="M339" s="279" t="str">
        <x:f>IF(F339=0,IF(E339&gt;0,"No recent demand","No demand / no stock"),IF(E339&lt;=I339,"Order now",IF(L339&lt;='Assumptions'!$B$8,"Review soon","Sufficient stock")))</x:f>
        <x:v>Order now</x:v>
      </x:c>
      <x:c r="N339" s="300" t="n">
        <x:f>K339*H339</x:f>
        <x:v>12.6179</x:v>
      </x:c>
    </x:row>
    <x:row r="340" ht="16.5" customHeight="1">
      <x:c r="A340" s="290" t="str">
        <x:v>SKU1716</x:v>
      </x:c>
      <x:c r="B340" s="291" t="str">
        <x:v>Product 1716</x:v>
      </x:c>
      <x:c r="C340" s="291" t="str">
        <x:v>Store A</x:v>
      </x:c>
      <x:c r="D340" s="291" t="str">
        <x:v>Supplier 46</x:v>
      </x:c>
      <x:c r="E340" s="292" t="n">
        <x:v>0</x:v>
      </x:c>
      <x:c r="F340" s="292" t="n">
        <x:v>2.663</x:v>
      </x:c>
      <x:c r="G340" s="293" t="n">
        <x:v>44.488</x:v>
      </x:c>
      <x:c r="H340" s="293" t="n">
        <x:v>0.4982</x:v>
      </x:c>
      <x:c r="I340" s="293" t="n">
        <x:f>F340*'Assumptions'!$B$7*(1+'Assumptions'!$B$9)</x:f>
        <x:v>6.3911999999999995</x:v>
      </x:c>
      <x:c r="J340" s="293" t="n">
        <x:f>F340*('Assumptions'!$B$7+'Assumptions'!$B$8)*(1+'Assumptions'!$B$9)</x:f>
        <x:v>19.173599999999997</x:v>
      </x:c>
      <x:c r="K340" s="295" t="n">
        <x:f>MAX(0,ROUNDUP(J340-E340,0))</x:f>
        <x:v>20</x:v>
      </x:c>
      <x:c r="L340" s="297" t="n">
        <x:f>IF(F340=0,"",E340/F340)</x:f>
        <x:v>0</x:v>
      </x:c>
      <x:c r="M340" s="291" t="str">
        <x:f>IF(F340=0,IF(E340&gt;0,"No recent demand","No demand / no stock"),IF(E340&lt;=I340,"Order now",IF(L340&lt;='Assumptions'!$B$8,"Review soon","Sufficient stock")))</x:f>
        <x:v>Order now</x:v>
      </x:c>
      <x:c r="N340" s="299" t="n">
        <x:f>K340*H340</x:f>
        <x:v>9.963999999999999</x:v>
      </x:c>
    </x:row>
    <x:row r="341" ht="16.5" customHeight="1">
      <x:c r="A341" s="278" t="str">
        <x:v>SKU0140</x:v>
      </x:c>
      <x:c r="B341" s="279" t="str">
        <x:v>Product 0140</x:v>
      </x:c>
      <x:c r="C341" s="279" t="str">
        <x:v>Store C</x:v>
      </x:c>
      <x:c r="D341" s="279" t="str">
        <x:v>Supplier 59</x:v>
      </x:c>
      <x:c r="E341" s="280" t="n">
        <x:v>0</x:v>
      </x:c>
      <x:c r="F341" s="280" t="n">
        <x:v>2.587</x:v>
      </x:c>
      <x:c r="G341" s="281" t="n">
        <x:v>61.7188</x:v>
      </x:c>
      <x:c r="H341" s="281" t="n">
        <x:v>0.9133</x:v>
      </x:c>
      <x:c r="I341" s="281" t="n">
        <x:f>F341*'Assumptions'!$B$7*(1+'Assumptions'!$B$9)</x:f>
        <x:v>6.2088</x:v>
      </x:c>
      <x:c r="J341" s="281" t="n">
        <x:f>F341*('Assumptions'!$B$7+'Assumptions'!$B$8)*(1+'Assumptions'!$B$9)</x:f>
        <x:v>18.6264</x:v>
      </x:c>
      <x:c r="K341" s="296" t="n">
        <x:f>MAX(0,ROUNDUP(J341-E341,0))</x:f>
        <x:v>19</x:v>
      </x:c>
      <x:c r="L341" s="298" t="n">
        <x:f>IF(F341=0,"",E341/F341)</x:f>
        <x:v>0</x:v>
      </x:c>
      <x:c r="M341" s="279" t="str">
        <x:f>IF(F341=0,IF(E341&gt;0,"No recent demand","No demand / no stock"),IF(E341&lt;=I341,"Order now",IF(L341&lt;='Assumptions'!$B$8,"Review soon","Sufficient stock")))</x:f>
        <x:v>Order now</x:v>
      </x:c>
      <x:c r="N341" s="300" t="n">
        <x:f>K341*H341</x:f>
        <x:v>17.3527</x:v>
      </x:c>
    </x:row>
    <x:row r="342" ht="16.5" customHeight="1">
      <x:c r="A342" s="290" t="str">
        <x:v>SKU0660</x:v>
      </x:c>
      <x:c r="B342" s="291" t="str">
        <x:v>Product 0660</x:v>
      </x:c>
      <x:c r="C342" s="291" t="str">
        <x:v>Store C</x:v>
      </x:c>
      <x:c r="D342" s="291" t="str">
        <x:v>Supplier 16</x:v>
      </x:c>
      <x:c r="E342" s="292" t="n">
        <x:v>0</x:v>
      </x:c>
      <x:c r="F342" s="292" t="n">
        <x:v>2.587</x:v>
      </x:c>
      <x:c r="G342" s="293" t="n">
        <x:v>73.372</x:v>
      </x:c>
      <x:c r="H342" s="293" t="n">
        <x:v>0.7943</x:v>
      </x:c>
      <x:c r="I342" s="293" t="n">
        <x:f>F342*'Assumptions'!$B$7*(1+'Assumptions'!$B$9)</x:f>
        <x:v>6.2088</x:v>
      </x:c>
      <x:c r="J342" s="293" t="n">
        <x:f>F342*('Assumptions'!$B$7+'Assumptions'!$B$8)*(1+'Assumptions'!$B$9)</x:f>
        <x:v>18.6264</x:v>
      </x:c>
      <x:c r="K342" s="295" t="n">
        <x:f>MAX(0,ROUNDUP(J342-E342,0))</x:f>
        <x:v>19</x:v>
      </x:c>
      <x:c r="L342" s="297" t="n">
        <x:f>IF(F342=0,"",E342/F342)</x:f>
        <x:v>0</x:v>
      </x:c>
      <x:c r="M342" s="291" t="str">
        <x:f>IF(F342=0,IF(E342&gt;0,"No recent demand","No demand / no stock"),IF(E342&lt;=I342,"Order now",IF(L342&lt;='Assumptions'!$B$8,"Review soon","Sufficient stock")))</x:f>
        <x:v>Order now</x:v>
      </x:c>
      <x:c r="N342" s="299" t="n">
        <x:f>K342*H342</x:f>
        <x:v>15.0917</x:v>
      </x:c>
    </x:row>
    <x:row r="343" ht="16.5" customHeight="1">
      <x:c r="A343" s="278" t="str">
        <x:v>SKU0664</x:v>
      </x:c>
      <x:c r="B343" s="279" t="str">
        <x:v>Product 0664</x:v>
      </x:c>
      <x:c r="C343" s="279" t="str">
        <x:v>Store B</x:v>
      </x:c>
      <x:c r="D343" s="279" t="str">
        <x:v>Supplier 61</x:v>
      </x:c>
      <x:c r="E343" s="280" t="n">
        <x:v>2</x:v>
      </x:c>
      <x:c r="F343" s="280" t="n">
        <x:v>2.587</x:v>
      </x:c>
      <x:c r="G343" s="281" t="n">
        <x:v>119.7607</x:v>
      </x:c>
      <x:c r="H343" s="281" t="n">
        <x:v>1.913</x:v>
      </x:c>
      <x:c r="I343" s="281" t="n">
        <x:f>F343*'Assumptions'!$B$7*(1+'Assumptions'!$B$9)</x:f>
        <x:v>6.2088</x:v>
      </x:c>
      <x:c r="J343" s="281" t="n">
        <x:f>F343*('Assumptions'!$B$7+'Assumptions'!$B$8)*(1+'Assumptions'!$B$9)</x:f>
        <x:v>18.6264</x:v>
      </x:c>
      <x:c r="K343" s="296" t="n">
        <x:f>MAX(0,ROUNDUP(J343-E343,0))</x:f>
        <x:v>17</x:v>
      </x:c>
      <x:c r="L343" s="298" t="n">
        <x:f>IF(F343=0,"",E343/F343)</x:f>
        <x:v>0.7730962504831851</x:v>
      </x:c>
      <x:c r="M343" s="279" t="str">
        <x:f>IF(F343=0,IF(E343&gt;0,"No recent demand","No demand / no stock"),IF(E343&lt;=I343,"Order now",IF(L343&lt;='Assumptions'!$B$8,"Review soon","Sufficient stock")))</x:f>
        <x:v>Order now</x:v>
      </x:c>
      <x:c r="N343" s="300" t="n">
        <x:f>K343*H343</x:f>
        <x:v>32.521</x:v>
      </x:c>
    </x:row>
    <x:row r="344" ht="16.5" customHeight="1">
      <x:c r="A344" s="290" t="str">
        <x:v>SKU0708</x:v>
      </x:c>
      <x:c r="B344" s="291" t="str">
        <x:v>Product 0708</x:v>
      </x:c>
      <x:c r="C344" s="291" t="str">
        <x:v>Store B</x:v>
      </x:c>
      <x:c r="D344" s="291" t="str">
        <x:v>Supplier 02</x:v>
      </x:c>
      <x:c r="E344" s="292" t="n">
        <x:v>0</x:v>
      </x:c>
      <x:c r="F344" s="292" t="n">
        <x:v>2.587</x:v>
      </x:c>
      <x:c r="G344" s="293" t="n">
        <x:v>33.6648</x:v>
      </x:c>
      <x:c r="H344" s="293" t="n">
        <x:v>0</x:v>
      </x:c>
      <x:c r="I344" s="293" t="n">
        <x:f>F344*'Assumptions'!$B$7*(1+'Assumptions'!$B$9)</x:f>
        <x:v>6.2088</x:v>
      </x:c>
      <x:c r="J344" s="293" t="n">
        <x:f>F344*('Assumptions'!$B$7+'Assumptions'!$B$8)*(1+'Assumptions'!$B$9)</x:f>
        <x:v>18.6264</x:v>
      </x:c>
      <x:c r="K344" s="295" t="n">
        <x:f>MAX(0,ROUNDUP(J344-E344,0))</x:f>
        <x:v>19</x:v>
      </x:c>
      <x:c r="L344" s="297" t="n">
        <x:f>IF(F344=0,"",E344/F344)</x:f>
        <x:v>0</x:v>
      </x:c>
      <x:c r="M344" s="291" t="str">
        <x:f>IF(F344=0,IF(E344&gt;0,"No recent demand","No demand / no stock"),IF(E344&lt;=I344,"Order now",IF(L344&lt;='Assumptions'!$B$8,"Review soon","Sufficient stock")))</x:f>
        <x:v>Order now</x:v>
      </x:c>
      <x:c r="N344" s="299" t="n">
        <x:f>K344*H344</x:f>
        <x:v>0</x:v>
      </x:c>
    </x:row>
    <x:row r="345" ht="16.5" customHeight="1">
      <x:c r="A345" s="278" t="str">
        <x:v>SKU1509</x:v>
      </x:c>
      <x:c r="B345" s="279" t="str">
        <x:v>Product 1509</x:v>
      </x:c>
      <x:c r="C345" s="279" t="str">
        <x:v>Store C</x:v>
      </x:c>
      <x:c r="D345" s="279" t="str">
        <x:v>Supplier 24</x:v>
      </x:c>
      <x:c r="E345" s="280" t="n">
        <x:v>18</x:v>
      </x:c>
      <x:c r="F345" s="280" t="n">
        <x:v>2.587</x:v>
      </x:c>
      <x:c r="G345" s="281" t="n">
        <x:v>26.4272</x:v>
      </x:c>
      <x:c r="H345" s="281" t="n">
        <x:v>0.3818</x:v>
      </x:c>
      <x:c r="I345" s="281" t="n">
        <x:f>F345*'Assumptions'!$B$7*(1+'Assumptions'!$B$9)</x:f>
        <x:v>6.2088</x:v>
      </x:c>
      <x:c r="J345" s="281" t="n">
        <x:f>F345*('Assumptions'!$B$7+'Assumptions'!$B$8)*(1+'Assumptions'!$B$9)</x:f>
        <x:v>18.6264</x:v>
      </x:c>
      <x:c r="K345" s="296" t="n">
        <x:f>MAX(0,ROUNDUP(J345-E345,0))</x:f>
        <x:v>1</x:v>
      </x:c>
      <x:c r="L345" s="298" t="n">
        <x:f>IF(F345=0,"",E345/F345)</x:f>
        <x:v>6.957866254348666</x:v>
      </x:c>
      <x:c r="M345" s="279" t="str">
        <x:f>IF(F345=0,IF(E345&gt;0,"No recent demand","No demand / no stock"),IF(E345&lt;=I345,"Order now",IF(L345&lt;='Assumptions'!$B$8,"Review soon","Sufficient stock")))</x:f>
        <x:v>Sufficient stock</x:v>
      </x:c>
      <x:c r="N345" s="300" t="n">
        <x:f>K345*H345</x:f>
        <x:v>0.3818</x:v>
      </x:c>
    </x:row>
    <x:row r="346" ht="16.5" customHeight="1">
      <x:c r="A346" s="290" t="str">
        <x:v>SKU1766</x:v>
      </x:c>
      <x:c r="B346" s="291" t="str">
        <x:v>Product 1766</x:v>
      </x:c>
      <x:c r="C346" s="291" t="str">
        <x:v>Store A</x:v>
      </x:c>
      <x:c r="D346" s="291" t="str">
        <x:v>Multiple suppliers</x:v>
      </x:c>
      <x:c r="E346" s="292" t="n">
        <x:v>0</x:v>
      </x:c>
      <x:c r="F346" s="292" t="n">
        <x:v>2.587</x:v>
      </x:c>
      <x:c r="G346" s="293" t="n">
        <x:v>64.076</x:v>
      </x:c>
      <x:c r="H346" s="293" t="n">
        <x:v>0</x:v>
      </x:c>
      <x:c r="I346" s="293" t="n">
        <x:f>F346*'Assumptions'!$B$7*(1+'Assumptions'!$B$9)</x:f>
        <x:v>6.2088</x:v>
      </x:c>
      <x:c r="J346" s="293" t="n">
        <x:f>F346*('Assumptions'!$B$7+'Assumptions'!$B$8)*(1+'Assumptions'!$B$9)</x:f>
        <x:v>18.6264</x:v>
      </x:c>
      <x:c r="K346" s="295" t="n">
        <x:f>MAX(0,ROUNDUP(J346-E346,0))</x:f>
        <x:v>19</x:v>
      </x:c>
      <x:c r="L346" s="297" t="n">
        <x:f>IF(F346=0,"",E346/F346)</x:f>
        <x:v>0</x:v>
      </x:c>
      <x:c r="M346" s="291" t="str">
        <x:f>IF(F346=0,IF(E346&gt;0,"No recent demand","No demand / no stock"),IF(E346&lt;=I346,"Order now",IF(L346&lt;='Assumptions'!$B$8,"Review soon","Sufficient stock")))</x:f>
        <x:v>Order now</x:v>
      </x:c>
      <x:c r="N346" s="299" t="n">
        <x:f>K346*H346</x:f>
        <x:v>0</x:v>
      </x:c>
    </x:row>
    <x:row r="347" ht="16.5" customHeight="1">
      <x:c r="A347" s="278" t="str">
        <x:v>SKU0007</x:v>
      </x:c>
      <x:c r="B347" s="279" t="str">
        <x:v>Product 0007</x:v>
      </x:c>
      <x:c r="C347" s="279" t="str">
        <x:v>Store A</x:v>
      </x:c>
      <x:c r="D347" s="279" t="str">
        <x:v>Supplier 64</x:v>
      </x:c>
      <x:c r="E347" s="280" t="n">
        <x:v>0</x:v>
      </x:c>
      <x:c r="F347" s="280" t="n">
        <x:v>2.5109</x:v>
      </x:c>
      <x:c r="G347" s="281" t="n">
        <x:v>19.0568</x:v>
      </x:c>
      <x:c r="H347" s="281" t="n">
        <x:v>0</x:v>
      </x:c>
      <x:c r="I347" s="281" t="n">
        <x:f>F347*'Assumptions'!$B$7*(1+'Assumptions'!$B$9)</x:f>
        <x:v>6.02616</x:v>
      </x:c>
      <x:c r="J347" s="281" t="n">
        <x:f>F347*('Assumptions'!$B$7+'Assumptions'!$B$8)*(1+'Assumptions'!$B$9)</x:f>
        <x:v>18.07848</x:v>
      </x:c>
      <x:c r="K347" s="296" t="n">
        <x:f>MAX(0,ROUNDUP(J347-E347,0))</x:f>
        <x:v>19</x:v>
      </x:c>
      <x:c r="L347" s="298" t="n">
        <x:f>IF(F347=0,"",E347/F347)</x:f>
        <x:v>0</x:v>
      </x:c>
      <x:c r="M347" s="279" t="str">
        <x:f>IF(F347=0,IF(E347&gt;0,"No recent demand","No demand / no stock"),IF(E347&lt;=I347,"Order now",IF(L347&lt;='Assumptions'!$B$8,"Review soon","Sufficient stock")))</x:f>
        <x:v>Order now</x:v>
      </x:c>
      <x:c r="N347" s="300" t="n">
        <x:f>K347*H347</x:f>
        <x:v>0</x:v>
      </x:c>
    </x:row>
    <x:row r="348" ht="16.5" customHeight="1">
      <x:c r="A348" s="290" t="str">
        <x:v>SKU0666</x:v>
      </x:c>
      <x:c r="B348" s="291" t="str">
        <x:v>Product 0666</x:v>
      </x:c>
      <x:c r="C348" s="291" t="str">
        <x:v>Store B</x:v>
      </x:c>
      <x:c r="D348" s="291" t="str">
        <x:v>Supplier 61</x:v>
      </x:c>
      <x:c r="E348" s="292" t="n">
        <x:v>5</x:v>
      </x:c>
      <x:c r="F348" s="292" t="n">
        <x:v>2.5109</x:v>
      </x:c>
      <x:c r="G348" s="293" t="n">
        <x:v>129.2227</x:v>
      </x:c>
      <x:c r="H348" s="293" t="n">
        <x:v>1.9124</x:v>
      </x:c>
      <x:c r="I348" s="293" t="n">
        <x:f>F348*'Assumptions'!$B$7*(1+'Assumptions'!$B$9)</x:f>
        <x:v>6.02616</x:v>
      </x:c>
      <x:c r="J348" s="293" t="n">
        <x:f>F348*('Assumptions'!$B$7+'Assumptions'!$B$8)*(1+'Assumptions'!$B$9)</x:f>
        <x:v>18.07848</x:v>
      </x:c>
      <x:c r="K348" s="295" t="n">
        <x:f>MAX(0,ROUNDUP(J348-E348,0))</x:f>
        <x:v>14</x:v>
      </x:c>
      <x:c r="L348" s="297" t="n">
        <x:f>IF(F348=0,"",E348/F348)</x:f>
        <x:v>1.9913178541558805</x:v>
      </x:c>
      <x:c r="M348" s="291" t="str">
        <x:f>IF(F348=0,IF(E348&gt;0,"No recent demand","No demand / no stock"),IF(E348&lt;=I348,"Order now",IF(L348&lt;='Assumptions'!$B$8,"Review soon","Sufficient stock")))</x:f>
        <x:v>Order now</x:v>
      </x:c>
      <x:c r="N348" s="299" t="n">
        <x:f>K348*H348</x:f>
        <x:v>26.773600000000002</x:v>
      </x:c>
    </x:row>
    <x:row r="349" ht="16.5" customHeight="1">
      <x:c r="A349" s="278" t="str">
        <x:v>SKU0713</x:v>
      </x:c>
      <x:c r="B349" s="279" t="str">
        <x:v>Product 0713</x:v>
      </x:c>
      <x:c r="C349" s="279" t="str">
        <x:v>Store B</x:v>
      </x:c>
      <x:c r="D349" s="279" t="str">
        <x:v>Supplier 02</x:v>
      </x:c>
      <x:c r="E349" s="280" t="n">
        <x:v>-1</x:v>
      </x:c>
      <x:c r="F349" s="280" t="n">
        <x:v>2.5109</x:v>
      </x:c>
      <x:c r="G349" s="281" t="n">
        <x:v>40.587</x:v>
      </x:c>
      <x:c r="H349" s="281" t="n">
        <x:v>0.3071</x:v>
      </x:c>
      <x:c r="I349" s="281" t="n">
        <x:f>F349*'Assumptions'!$B$7*(1+'Assumptions'!$B$9)</x:f>
        <x:v>6.02616</x:v>
      </x:c>
      <x:c r="J349" s="281" t="n">
        <x:f>F349*('Assumptions'!$B$7+'Assumptions'!$B$8)*(1+'Assumptions'!$B$9)</x:f>
        <x:v>18.07848</x:v>
      </x:c>
      <x:c r="K349" s="296" t="n">
        <x:f>MAX(0,ROUNDUP(J349-E349,0))</x:f>
        <x:v>20</x:v>
      </x:c>
      <x:c r="L349" s="298" t="n">
        <x:f>IF(F349=0,"",E349/F349)</x:f>
        <x:v>-0.3982635708311761</x:v>
      </x:c>
      <x:c r="M349" s="279" t="str">
        <x:f>IF(F349=0,IF(E349&gt;0,"No recent demand","No demand / no stock"),IF(E349&lt;=I349,"Order now",IF(L349&lt;='Assumptions'!$B$8,"Review soon","Sufficient stock")))</x:f>
        <x:v>Order now</x:v>
      </x:c>
      <x:c r="N349" s="300" t="n">
        <x:f>K349*H349</x:f>
        <x:v>6.1419999999999995</x:v>
      </x:c>
    </x:row>
    <x:row r="350" ht="16.5" customHeight="1">
      <x:c r="A350" s="290" t="str">
        <x:v>SKU0713</x:v>
      </x:c>
      <x:c r="B350" s="291" t="str">
        <x:v>Product 0713</x:v>
      </x:c>
      <x:c r="C350" s="291" t="str">
        <x:v>Store C</x:v>
      </x:c>
      <x:c r="D350" s="291" t="str">
        <x:v>Supplier 02</x:v>
      </x:c>
      <x:c r="E350" s="292" t="n">
        <x:v>0</x:v>
      </x:c>
      <x:c r="F350" s="292" t="n">
        <x:v>2.5109</x:v>
      </x:c>
      <x:c r="G350" s="293" t="n">
        <x:v>41.085</x:v>
      </x:c>
      <x:c r="H350" s="293" t="n">
        <x:v>0.3072</x:v>
      </x:c>
      <x:c r="I350" s="293" t="n">
        <x:f>F350*'Assumptions'!$B$7*(1+'Assumptions'!$B$9)</x:f>
        <x:v>6.02616</x:v>
      </x:c>
      <x:c r="J350" s="293" t="n">
        <x:f>F350*('Assumptions'!$B$7+'Assumptions'!$B$8)*(1+'Assumptions'!$B$9)</x:f>
        <x:v>18.07848</x:v>
      </x:c>
      <x:c r="K350" s="295" t="n">
        <x:f>MAX(0,ROUNDUP(J350-E350,0))</x:f>
        <x:v>19</x:v>
      </x:c>
      <x:c r="L350" s="297" t="n">
        <x:f>IF(F350=0,"",E350/F350)</x:f>
        <x:v>0</x:v>
      </x:c>
      <x:c r="M350" s="291" t="str">
        <x:f>IF(F350=0,IF(E350&gt;0,"No recent demand","No demand / no stock"),IF(E350&lt;=I350,"Order now",IF(L350&lt;='Assumptions'!$B$8,"Review soon","Sufficient stock")))</x:f>
        <x:v>Order now</x:v>
      </x:c>
      <x:c r="N350" s="299" t="n">
        <x:f>K350*H350</x:f>
        <x:v>5.836799999999999</x:v>
      </x:c>
    </x:row>
    <x:row r="351" ht="16.5" customHeight="1">
      <x:c r="A351" s="278" t="str">
        <x:v>SKU0982</x:v>
      </x:c>
      <x:c r="B351" s="279" t="str">
        <x:v>Product 0982</x:v>
      </x:c>
      <x:c r="C351" s="279" t="str">
        <x:v>Store A</x:v>
      </x:c>
      <x:c r="D351" s="279" t="str">
        <x:v>Supplier 46</x:v>
      </x:c>
      <x:c r="E351" s="280" t="n">
        <x:v>0</x:v>
      </x:c>
      <x:c r="F351" s="280" t="n">
        <x:v>2.5109</x:v>
      </x:c>
      <x:c r="G351" s="281" t="n">
        <x:v>42.2304</x:v>
      </x:c>
      <x:c r="H351" s="281" t="n">
        <x:v>0.5064</x:v>
      </x:c>
      <x:c r="I351" s="281" t="n">
        <x:f>F351*'Assumptions'!$B$7*(1+'Assumptions'!$B$9)</x:f>
        <x:v>6.02616</x:v>
      </x:c>
      <x:c r="J351" s="281" t="n">
        <x:f>F351*('Assumptions'!$B$7+'Assumptions'!$B$8)*(1+'Assumptions'!$B$9)</x:f>
        <x:v>18.07848</x:v>
      </x:c>
      <x:c r="K351" s="296" t="n">
        <x:f>MAX(0,ROUNDUP(J351-E351,0))</x:f>
        <x:v>19</x:v>
      </x:c>
      <x:c r="L351" s="298" t="n">
        <x:f>IF(F351=0,"",E351/F351)</x:f>
        <x:v>0</x:v>
      </x:c>
      <x:c r="M351" s="279" t="str">
        <x:f>IF(F351=0,IF(E351&gt;0,"No recent demand","No demand / no stock"),IF(E351&lt;=I351,"Order now",IF(L351&lt;='Assumptions'!$B$8,"Review soon","Sufficient stock")))</x:f>
        <x:v>Order now</x:v>
      </x:c>
      <x:c r="N351" s="300" t="n">
        <x:f>K351*H351</x:f>
        <x:v>9.621599999999999</x:v>
      </x:c>
    </x:row>
    <x:row r="352" ht="16.5" customHeight="1">
      <x:c r="A352" s="290" t="str">
        <x:v>SKU0982</x:v>
      </x:c>
      <x:c r="B352" s="291" t="str">
        <x:v>Product 0982</x:v>
      </x:c>
      <x:c r="C352" s="291" t="str">
        <x:v>Store B</x:v>
      </x:c>
      <x:c r="D352" s="291" t="str">
        <x:v>Supplier 46</x:v>
      </x:c>
      <x:c r="E352" s="292" t="n">
        <x:v>0</x:v>
      </x:c>
      <x:c r="F352" s="292" t="n">
        <x:v>2.5109</x:v>
      </x:c>
      <x:c r="G352" s="293" t="n">
        <x:v>42.496</x:v>
      </x:c>
      <x:c r="H352" s="293" t="n">
        <x:v>0.5065</x:v>
      </x:c>
      <x:c r="I352" s="293" t="n">
        <x:f>F352*'Assumptions'!$B$7*(1+'Assumptions'!$B$9)</x:f>
        <x:v>6.02616</x:v>
      </x:c>
      <x:c r="J352" s="293" t="n">
        <x:f>F352*('Assumptions'!$B$7+'Assumptions'!$B$8)*(1+'Assumptions'!$B$9)</x:f>
        <x:v>18.07848</x:v>
      </x:c>
      <x:c r="K352" s="295" t="n">
        <x:f>MAX(0,ROUNDUP(J352-E352,0))</x:f>
        <x:v>19</x:v>
      </x:c>
      <x:c r="L352" s="297" t="n">
        <x:f>IF(F352=0,"",E352/F352)</x:f>
        <x:v>0</x:v>
      </x:c>
      <x:c r="M352" s="291" t="str">
        <x:f>IF(F352=0,IF(E352&gt;0,"No recent demand","No demand / no stock"),IF(E352&lt;=I352,"Order now",IF(L352&lt;='Assumptions'!$B$8,"Review soon","Sufficient stock")))</x:f>
        <x:v>Order now</x:v>
      </x:c>
      <x:c r="N352" s="299" t="n">
        <x:f>K352*H352</x:f>
        <x:v>9.6235</x:v>
      </x:c>
    </x:row>
    <x:row r="353" ht="16.5" customHeight="1">
      <x:c r="A353" s="278" t="str">
        <x:v>SKU0984</x:v>
      </x:c>
      <x:c r="B353" s="279" t="str">
        <x:v>Product 0984</x:v>
      </x:c>
      <x:c r="C353" s="279" t="str">
        <x:v>Store B</x:v>
      </x:c>
      <x:c r="D353" s="279" t="str">
        <x:v>Supplier 46</x:v>
      </x:c>
      <x:c r="E353" s="280" t="n">
        <x:v>-1</x:v>
      </x:c>
      <x:c r="F353" s="280" t="n">
        <x:v>2.5109</x:v>
      </x:c>
      <x:c r="G353" s="281" t="n">
        <x:v>67.23</x:v>
      </x:c>
      <x:c r="H353" s="281" t="n">
        <x:v>0.9131</x:v>
      </x:c>
      <x:c r="I353" s="281" t="n">
        <x:f>F353*'Assumptions'!$B$7*(1+'Assumptions'!$B$9)</x:f>
        <x:v>6.02616</x:v>
      </x:c>
      <x:c r="J353" s="281" t="n">
        <x:f>F353*('Assumptions'!$B$7+'Assumptions'!$B$8)*(1+'Assumptions'!$B$9)</x:f>
        <x:v>18.07848</x:v>
      </x:c>
      <x:c r="K353" s="296" t="n">
        <x:f>MAX(0,ROUNDUP(J353-E353,0))</x:f>
        <x:v>20</x:v>
      </x:c>
      <x:c r="L353" s="298" t="n">
        <x:f>IF(F353=0,"",E353/F353)</x:f>
        <x:v>-0.3982635708311761</x:v>
      </x:c>
      <x:c r="M353" s="279" t="str">
        <x:f>IF(F353=0,IF(E353&gt;0,"No recent demand","No demand / no stock"),IF(E353&lt;=I353,"Order now",IF(L353&lt;='Assumptions'!$B$8,"Review soon","Sufficient stock")))</x:f>
        <x:v>Order now</x:v>
      </x:c>
      <x:c r="N353" s="300" t="n">
        <x:f>K353*H353</x:f>
        <x:v>18.262</x:v>
      </x:c>
    </x:row>
    <x:row r="354" ht="16.5" customHeight="1">
      <x:c r="A354" s="290" t="str">
        <x:v>SKU1002</x:v>
      </x:c>
      <x:c r="B354" s="291" t="str">
        <x:v>Product 1002</x:v>
      </x:c>
      <x:c r="C354" s="291" t="str">
        <x:v>Store B</x:v>
      </x:c>
      <x:c r="D354" s="291" t="str">
        <x:v>Supplier 19</x:v>
      </x:c>
      <x:c r="E354" s="292" t="n">
        <x:v>0</x:v>
      </x:c>
      <x:c r="F354" s="292" t="n">
        <x:v>2.5109</x:v>
      </x:c>
      <x:c r="G354" s="293" t="n">
        <x:v>34.2375</x:v>
      </x:c>
      <x:c r="H354" s="293" t="n">
        <x:v>0.747</x:v>
      </x:c>
      <x:c r="I354" s="293" t="n">
        <x:f>F354*'Assumptions'!$B$7*(1+'Assumptions'!$B$9)</x:f>
        <x:v>6.02616</x:v>
      </x:c>
      <x:c r="J354" s="293" t="n">
        <x:f>F354*('Assumptions'!$B$7+'Assumptions'!$B$8)*(1+'Assumptions'!$B$9)</x:f>
        <x:v>18.07848</x:v>
      </x:c>
      <x:c r="K354" s="295" t="n">
        <x:f>MAX(0,ROUNDUP(J354-E354,0))</x:f>
        <x:v>19</x:v>
      </x:c>
      <x:c r="L354" s="297" t="n">
        <x:f>IF(F354=0,"",E354/F354)</x:f>
        <x:v>0</x:v>
      </x:c>
      <x:c r="M354" s="291" t="str">
        <x:f>IF(F354=0,IF(E354&gt;0,"No recent demand","No demand / no stock"),IF(E354&lt;=I354,"Order now",IF(L354&lt;='Assumptions'!$B$8,"Review soon","Sufficient stock")))</x:f>
        <x:v>Order now</x:v>
      </x:c>
      <x:c r="N354" s="299" t="n">
        <x:f>K354*H354</x:f>
        <x:v>14.193</x:v>
      </x:c>
    </x:row>
    <x:row r="355" ht="16.5" customHeight="1">
      <x:c r="A355" s="278" t="str">
        <x:v>SKU1332</x:v>
      </x:c>
      <x:c r="B355" s="279" t="str">
        <x:v>Product 1332</x:v>
      </x:c>
      <x:c r="C355" s="279" t="str">
        <x:v>Store C</x:v>
      </x:c>
      <x:c r="D355" s="279" t="str">
        <x:v>Supplier 03</x:v>
      </x:c>
      <x:c r="E355" s="280" t="n">
        <x:v>23</x:v>
      </x:c>
      <x:c r="F355" s="280" t="n">
        <x:v>2.5109</x:v>
      </x:c>
      <x:c r="G355" s="281" t="n">
        <x:v>42.9276</x:v>
      </x:c>
      <x:c r="H355" s="281" t="n">
        <x:v>0.5727</x:v>
      </x:c>
      <x:c r="I355" s="281" t="n">
        <x:f>F355*'Assumptions'!$B$7*(1+'Assumptions'!$B$9)</x:f>
        <x:v>6.02616</x:v>
      </x:c>
      <x:c r="J355" s="281" t="n">
        <x:f>F355*('Assumptions'!$B$7+'Assumptions'!$B$8)*(1+'Assumptions'!$B$9)</x:f>
        <x:v>18.07848</x:v>
      </x:c>
      <x:c r="K355" s="296" t="n">
        <x:f>MAX(0,ROUNDUP(J355-E355,0))</x:f>
        <x:v>0</x:v>
      </x:c>
      <x:c r="L355" s="298" t="n">
        <x:f>IF(F355=0,"",E355/F355)</x:f>
        <x:v>9.16006212911705</x:v>
      </x:c>
      <x:c r="M355" s="279" t="str">
        <x:f>IF(F355=0,IF(E355&gt;0,"No recent demand","No demand / no stock"),IF(E355&lt;=I355,"Order now",IF(L355&lt;='Assumptions'!$B$8,"Review soon","Sufficient stock")))</x:f>
        <x:v>Sufficient stock</x:v>
      </x:c>
      <x:c r="N355" s="300" t="n">
        <x:f>K355*H355</x:f>
        <x:v>0</x:v>
      </x:c>
    </x:row>
    <x:row r="356" ht="16.5" customHeight="1">
      <x:c r="A356" s="290" t="str">
        <x:v>SKU0001</x:v>
      </x:c>
      <x:c r="B356" s="291" t="str">
        <x:v>Product 0001</x:v>
      </x:c>
      <x:c r="C356" s="291" t="str">
        <x:v>Store A</x:v>
      </x:c>
      <x:c r="D356" s="291" t="str">
        <x:v>Supplier 64</x:v>
      </x:c>
      <x:c r="E356" s="292" t="n">
        <x:v>0</x:v>
      </x:c>
      <x:c r="F356" s="292" t="n">
        <x:v>2.4348</x:v>
      </x:c>
      <x:c r="G356" s="293" t="n">
        <x:v>5.312</x:v>
      </x:c>
      <x:c r="H356" s="293" t="n">
        <x:v>0</x:v>
      </x:c>
      <x:c r="I356" s="293" t="n">
        <x:f>F356*'Assumptions'!$B$7*(1+'Assumptions'!$B$9)</x:f>
        <x:v>5.84352</x:v>
      </x:c>
      <x:c r="J356" s="293" t="n">
        <x:f>F356*('Assumptions'!$B$7+'Assumptions'!$B$8)*(1+'Assumptions'!$B$9)</x:f>
        <x:v>17.53056</x:v>
      </x:c>
      <x:c r="K356" s="295" t="n">
        <x:f>MAX(0,ROUNDUP(J356-E356,0))</x:f>
        <x:v>18</x:v>
      </x:c>
      <x:c r="L356" s="297" t="n">
        <x:f>IF(F356=0,"",E356/F356)</x:f>
        <x:v>0</x:v>
      </x:c>
      <x:c r="M356" s="291" t="str">
        <x:f>IF(F356=0,IF(E356&gt;0,"No recent demand","No demand / no stock"),IF(E356&lt;=I356,"Order now",IF(L356&lt;='Assumptions'!$B$8,"Review soon","Sufficient stock")))</x:f>
        <x:v>Order now</x:v>
      </x:c>
      <x:c r="N356" s="299" t="n">
        <x:f>K356*H356</x:f>
        <x:v>0</x:v>
      </x:c>
    </x:row>
    <x:row r="357" ht="16.5" customHeight="1">
      <x:c r="A357" s="278" t="str">
        <x:v>SKU0050</x:v>
      </x:c>
      <x:c r="B357" s="279" t="str">
        <x:v>Product 0050</x:v>
      </x:c>
      <x:c r="C357" s="279" t="str">
        <x:v>Store C</x:v>
      </x:c>
      <x:c r="D357" s="279" t="str">
        <x:v>Supplier 66</x:v>
      </x:c>
      <x:c r="E357" s="280" t="n">
        <x:v>0</x:v>
      </x:c>
      <x:c r="F357" s="280" t="n">
        <x:v>2.4348</x:v>
      </x:c>
      <x:c r="G357" s="281" t="n">
        <x:v>71.712</x:v>
      </x:c>
      <x:c r="H357" s="281" t="n">
        <x:v>0.7056</x:v>
      </x:c>
      <x:c r="I357" s="281" t="n">
        <x:f>F357*'Assumptions'!$B$7*(1+'Assumptions'!$B$9)</x:f>
        <x:v>5.84352</x:v>
      </x:c>
      <x:c r="J357" s="281" t="n">
        <x:f>F357*('Assumptions'!$B$7+'Assumptions'!$B$8)*(1+'Assumptions'!$B$9)</x:f>
        <x:v>17.53056</x:v>
      </x:c>
      <x:c r="K357" s="296" t="n">
        <x:f>MAX(0,ROUNDUP(J357-E357,0))</x:f>
        <x:v>18</x:v>
      </x:c>
      <x:c r="L357" s="298" t="n">
        <x:f>IF(F357=0,"",E357/F357)</x:f>
        <x:v>0</x:v>
      </x:c>
      <x:c r="M357" s="279" t="str">
        <x:f>IF(F357=0,IF(E357&gt;0,"No recent demand","No demand / no stock"),IF(E357&lt;=I357,"Order now",IF(L357&lt;='Assumptions'!$B$8,"Review soon","Sufficient stock")))</x:f>
        <x:v>Order now</x:v>
      </x:c>
      <x:c r="N357" s="300" t="n">
        <x:f>K357*H357</x:f>
        <x:v>12.700800000000001</x:v>
      </x:c>
    </x:row>
    <x:row r="358" ht="16.5" customHeight="1">
      <x:c r="A358" s="290" t="str">
        <x:v>SKU0123</x:v>
      </x:c>
      <x:c r="B358" s="291" t="str">
        <x:v>Product 0123</x:v>
      </x:c>
      <x:c r="C358" s="291" t="str">
        <x:v>Store A</x:v>
      </x:c>
      <x:c r="D358" s="291" t="str">
        <x:v>Supplier 05</x:v>
      </x:c>
      <x:c r="E358" s="292" t="n">
        <x:v>0</x:v>
      </x:c>
      <x:c r="F358" s="292" t="n">
        <x:v>2.4348</x:v>
      </x:c>
      <x:c r="G358" s="293" t="n">
        <x:v>36.4868</x:v>
      </x:c>
      <x:c r="H358" s="293" t="n">
        <x:v>0.3653</x:v>
      </x:c>
      <x:c r="I358" s="293" t="n">
        <x:f>F358*'Assumptions'!$B$7*(1+'Assumptions'!$B$9)</x:f>
        <x:v>5.84352</x:v>
      </x:c>
      <x:c r="J358" s="293" t="n">
        <x:f>F358*('Assumptions'!$B$7+'Assumptions'!$B$8)*(1+'Assumptions'!$B$9)</x:f>
        <x:v>17.53056</x:v>
      </x:c>
      <x:c r="K358" s="295" t="n">
        <x:f>MAX(0,ROUNDUP(J358-E358,0))</x:f>
        <x:v>18</x:v>
      </x:c>
      <x:c r="L358" s="297" t="n">
        <x:f>IF(F358=0,"",E358/F358)</x:f>
        <x:v>0</x:v>
      </x:c>
      <x:c r="M358" s="291" t="str">
        <x:f>IF(F358=0,IF(E358&gt;0,"No recent demand","No demand / no stock"),IF(E358&lt;=I358,"Order now",IF(L358&lt;='Assumptions'!$B$8,"Review soon","Sufficient stock")))</x:f>
        <x:v>Order now</x:v>
      </x:c>
      <x:c r="N358" s="299" t="n">
        <x:f>K358*H358</x:f>
        <x:v>6.5754</x:v>
      </x:c>
    </x:row>
    <x:row r="359" ht="16.5" customHeight="1">
      <x:c r="A359" s="278" t="str">
        <x:v>SKU0144</x:v>
      </x:c>
      <x:c r="B359" s="279" t="str">
        <x:v>Product 0144</x:v>
      </x:c>
      <x:c r="C359" s="279" t="str">
        <x:v>Store C</x:v>
      </x:c>
      <x:c r="D359" s="279" t="str">
        <x:v>Supplier 68</x:v>
      </x:c>
      <x:c r="E359" s="280" t="n">
        <x:v>19</x:v>
      </x:c>
      <x:c r="F359" s="280" t="n">
        <x:v>2.4348</x:v>
      </x:c>
      <x:c r="G359" s="281" t="n">
        <x:v>11.952</x:v>
      </x:c>
      <x:c r="H359" s="281" t="n">
        <x:v>0.1231</x:v>
      </x:c>
      <x:c r="I359" s="281" t="n">
        <x:f>F359*'Assumptions'!$B$7*(1+'Assumptions'!$B$9)</x:f>
        <x:v>5.84352</x:v>
      </x:c>
      <x:c r="J359" s="281" t="n">
        <x:f>F359*('Assumptions'!$B$7+'Assumptions'!$B$8)*(1+'Assumptions'!$B$9)</x:f>
        <x:v>17.53056</x:v>
      </x:c>
      <x:c r="K359" s="296" t="n">
        <x:f>MAX(0,ROUNDUP(J359-E359,0))</x:f>
        <x:v>0</x:v>
      </x:c>
      <x:c r="L359" s="298" t="n">
        <x:f>IF(F359=0,"",E359/F359)</x:f>
        <x:v>7.803515689173649</x:v>
      </x:c>
      <x:c r="M359" s="279" t="str">
        <x:f>IF(F359=0,IF(E359&gt;0,"No recent demand","No demand / no stock"),IF(E359&lt;=I359,"Order now",IF(L359&lt;='Assumptions'!$B$8,"Review soon","Sufficient stock")))</x:f>
        <x:v>Sufficient stock</x:v>
      </x:c>
      <x:c r="N359" s="300" t="n">
        <x:f>K359*H359</x:f>
        <x:v>0</x:v>
      </x:c>
    </x:row>
    <x:row r="360" ht="16.5" customHeight="1">
      <x:c r="A360" s="290" t="str">
        <x:v>SKU0660</x:v>
      </x:c>
      <x:c r="B360" s="291" t="str">
        <x:v>Product 0660</x:v>
      </x:c>
      <x:c r="C360" s="291" t="str">
        <x:v>Store A</x:v>
      </x:c>
      <x:c r="D360" s="291" t="str">
        <x:v>Supplier 16</x:v>
      </x:c>
      <x:c r="E360" s="292" t="n">
        <x:v>0</x:v>
      </x:c>
      <x:c r="F360" s="292" t="n">
        <x:v>2.4348</x:v>
      </x:c>
      <x:c r="G360" s="293" t="n">
        <x:v>67.1138</x:v>
      </x:c>
      <x:c r="H360" s="293" t="n">
        <x:v>0.7948</x:v>
      </x:c>
      <x:c r="I360" s="293" t="n">
        <x:f>F360*'Assumptions'!$B$7*(1+'Assumptions'!$B$9)</x:f>
        <x:v>5.84352</x:v>
      </x:c>
      <x:c r="J360" s="293" t="n">
        <x:f>F360*('Assumptions'!$B$7+'Assumptions'!$B$8)*(1+'Assumptions'!$B$9)</x:f>
        <x:v>17.53056</x:v>
      </x:c>
      <x:c r="K360" s="295" t="n">
        <x:f>MAX(0,ROUNDUP(J360-E360,0))</x:f>
        <x:v>18</x:v>
      </x:c>
      <x:c r="L360" s="297" t="n">
        <x:f>IF(F360=0,"",E360/F360)</x:f>
        <x:v>0</x:v>
      </x:c>
      <x:c r="M360" s="291" t="str">
        <x:f>IF(F360=0,IF(E360&gt;0,"No recent demand","No demand / no stock"),IF(E360&lt;=I360,"Order now",IF(L360&lt;='Assumptions'!$B$8,"Review soon","Sufficient stock")))</x:f>
        <x:v>Order now</x:v>
      </x:c>
      <x:c r="N360" s="299" t="n">
        <x:f>K360*H360</x:f>
        <x:v>14.3064</x:v>
      </x:c>
    </x:row>
    <x:row r="361" ht="16.5" customHeight="1">
      <x:c r="A361" s="278" t="str">
        <x:v>SKU0702</x:v>
      </x:c>
      <x:c r="B361" s="279" t="str">
        <x:v>Product 0702</x:v>
      </x:c>
      <x:c r="C361" s="279" t="str">
        <x:v>Store C</x:v>
      </x:c>
      <x:c r="D361" s="279" t="str">
        <x:v>Supplier 02</x:v>
      </x:c>
      <x:c r="E361" s="280" t="n">
        <x:v>6</x:v>
      </x:c>
      <x:c r="F361" s="280" t="n">
        <x:v>2.4348</x:v>
      </x:c>
      <x:c r="G361" s="281" t="n">
        <x:v>37.184</x:v>
      </x:c>
      <x:c r="H361" s="281" t="n">
        <x:v>0.3503</x:v>
      </x:c>
      <x:c r="I361" s="281" t="n">
        <x:f>F361*'Assumptions'!$B$7*(1+'Assumptions'!$B$9)</x:f>
        <x:v>5.84352</x:v>
      </x:c>
      <x:c r="J361" s="281" t="n">
        <x:f>F361*('Assumptions'!$B$7+'Assumptions'!$B$8)*(1+'Assumptions'!$B$9)</x:f>
        <x:v>17.53056</x:v>
      </x:c>
      <x:c r="K361" s="296" t="n">
        <x:f>MAX(0,ROUNDUP(J361-E361,0))</x:f>
        <x:v>12</x:v>
      </x:c>
      <x:c r="L361" s="298" t="n">
        <x:f>IF(F361=0,"",E361/F361)</x:f>
        <x:v>2.464268112370626</x:v>
      </x:c>
      <x:c r="M361" s="279" t="str">
        <x:f>IF(F361=0,IF(E361&gt;0,"No recent demand","No demand / no stock"),IF(E361&lt;=I361,"Order now",IF(L361&lt;='Assumptions'!$B$8,"Review soon","Sufficient stock")))</x:f>
        <x:v>Review soon</x:v>
      </x:c>
      <x:c r="N361" s="300" t="n">
        <x:f>K361*H361</x:f>
        <x:v>4.2036</x:v>
      </x:c>
    </x:row>
    <x:row r="362" ht="16.5" customHeight="1">
      <x:c r="A362" s="290" t="str">
        <x:v>SKU0982</x:v>
      </x:c>
      <x:c r="B362" s="291" t="str">
        <x:v>Product 0982</x:v>
      </x:c>
      <x:c r="C362" s="291" t="str">
        <x:v>Store C</x:v>
      </x:c>
      <x:c r="D362" s="291" t="str">
        <x:v>Supplier 46</x:v>
      </x:c>
      <x:c r="E362" s="292" t="n">
        <x:v>0</x:v>
      </x:c>
      <x:c r="F362" s="292" t="n">
        <x:v>2.4348</x:v>
      </x:c>
      <x:c r="G362" s="293" t="n">
        <x:v>42.3632</x:v>
      </x:c>
      <x:c r="H362" s="293" t="n">
        <x:v>0.5064</x:v>
      </x:c>
      <x:c r="I362" s="293" t="n">
        <x:f>F362*'Assumptions'!$B$7*(1+'Assumptions'!$B$9)</x:f>
        <x:v>5.84352</x:v>
      </x:c>
      <x:c r="J362" s="293" t="n">
        <x:f>F362*('Assumptions'!$B$7+'Assumptions'!$B$8)*(1+'Assumptions'!$B$9)</x:f>
        <x:v>17.53056</x:v>
      </x:c>
      <x:c r="K362" s="295" t="n">
        <x:f>MAX(0,ROUNDUP(J362-E362,0))</x:f>
        <x:v>18</x:v>
      </x:c>
      <x:c r="L362" s="297" t="n">
        <x:f>IF(F362=0,"",E362/F362)</x:f>
        <x:v>0</x:v>
      </x:c>
      <x:c r="M362" s="291" t="str">
        <x:f>IF(F362=0,IF(E362&gt;0,"No recent demand","No demand / no stock"),IF(E362&lt;=I362,"Order now",IF(L362&lt;='Assumptions'!$B$8,"Review soon","Sufficient stock")))</x:f>
        <x:v>Order now</x:v>
      </x:c>
      <x:c r="N362" s="299" t="n">
        <x:f>K362*H362</x:f>
        <x:v>9.1152</x:v>
      </x:c>
    </x:row>
    <x:row r="363" ht="16.5" customHeight="1">
      <x:c r="A363" s="278" t="str">
        <x:v>SKU1365</x:v>
      </x:c>
      <x:c r="B363" s="279" t="str">
        <x:v>Product 1365</x:v>
      </x:c>
      <x:c r="C363" s="279" t="str">
        <x:v>Store A</x:v>
      </x:c>
      <x:c r="D363" s="279" t="str">
        <x:v>Supplier 59</x:v>
      </x:c>
      <x:c r="E363" s="280" t="n">
        <x:v>49</x:v>
      </x:c>
      <x:c r="F363" s="280" t="n">
        <x:v>2.4348</x:v>
      </x:c>
      <x:c r="G363" s="281" t="n">
        <x:v>9.96</x:v>
      </x:c>
      <x:c r="H363" s="281" t="n">
        <x:v>0.1411</x:v>
      </x:c>
      <x:c r="I363" s="281" t="n">
        <x:f>F363*'Assumptions'!$B$7*(1+'Assumptions'!$B$9)</x:f>
        <x:v>5.84352</x:v>
      </x:c>
      <x:c r="J363" s="281" t="n">
        <x:f>F363*('Assumptions'!$B$7+'Assumptions'!$B$8)*(1+'Assumptions'!$B$9)</x:f>
        <x:v>17.53056</x:v>
      </x:c>
      <x:c r="K363" s="296" t="n">
        <x:f>MAX(0,ROUNDUP(J363-E363,0))</x:f>
        <x:v>0</x:v>
      </x:c>
      <x:c r="L363" s="298" t="n">
        <x:f>IF(F363=0,"",E363/F363)</x:f>
        <x:v>20.124856251026777</x:v>
      </x:c>
      <x:c r="M363" s="279" t="str">
        <x:f>IF(F363=0,IF(E363&gt;0,"No recent demand","No demand / no stock"),IF(E363&lt;=I363,"Order now",IF(L363&lt;='Assumptions'!$B$8,"Review soon","Sufficient stock")))</x:f>
        <x:v>Sufficient stock</x:v>
      </x:c>
      <x:c r="N363" s="300" t="n">
        <x:f>K363*H363</x:f>
        <x:v>0</x:v>
      </x:c>
    </x:row>
    <x:row r="364" ht="16.5" customHeight="1">
      <x:c r="A364" s="290" t="str">
        <x:v>SKU1384</x:v>
      </x:c>
      <x:c r="B364" s="291" t="str">
        <x:v>Product 1384</x:v>
      </x:c>
      <x:c r="C364" s="291" t="str">
        <x:v>Store A</x:v>
      </x:c>
      <x:c r="D364" s="291" t="str">
        <x:v>Multiple suppliers</x:v>
      </x:c>
      <x:c r="E364" s="292" t="n">
        <x:v>5</x:v>
      </x:c>
      <x:c r="F364" s="292" t="n">
        <x:v>2.4348</x:v>
      </x:c>
      <x:c r="G364" s="293" t="n">
        <x:v>30.7764</x:v>
      </x:c>
      <x:c r="H364" s="293" t="n">
        <x:v>0.4897</x:v>
      </x:c>
      <x:c r="I364" s="293" t="n">
        <x:f>F364*'Assumptions'!$B$7*(1+'Assumptions'!$B$9)</x:f>
        <x:v>5.84352</x:v>
      </x:c>
      <x:c r="J364" s="293" t="n">
        <x:f>F364*('Assumptions'!$B$7+'Assumptions'!$B$8)*(1+'Assumptions'!$B$9)</x:f>
        <x:v>17.53056</x:v>
      </x:c>
      <x:c r="K364" s="295" t="n">
        <x:f>MAX(0,ROUNDUP(J364-E364,0))</x:f>
        <x:v>13</x:v>
      </x:c>
      <x:c r="L364" s="297" t="n">
        <x:f>IF(F364=0,"",E364/F364)</x:f>
        <x:v>2.053556760308855</x:v>
      </x:c>
      <x:c r="M364" s="291" t="str">
        <x:f>IF(F364=0,IF(E364&gt;0,"No recent demand","No demand / no stock"),IF(E364&lt;=I364,"Order now",IF(L364&lt;='Assumptions'!$B$8,"Review soon","Sufficient stock")))</x:f>
        <x:v>Order now</x:v>
      </x:c>
      <x:c r="N364" s="299" t="n">
        <x:f>K364*H364</x:f>
        <x:v>6.3661</x:v>
      </x:c>
    </x:row>
    <x:row r="365" ht="16.5" customHeight="1">
      <x:c r="A365" s="278" t="str">
        <x:v>SKU1511</x:v>
      </x:c>
      <x:c r="B365" s="279" t="str">
        <x:v>Product 1511</x:v>
      </x:c>
      <x:c r="C365" s="279" t="str">
        <x:v>Store C</x:v>
      </x:c>
      <x:c r="D365" s="279" t="str">
        <x:v>Supplier 24</x:v>
      </x:c>
      <x:c r="E365" s="280" t="n">
        <x:v>13</x:v>
      </x:c>
      <x:c r="F365" s="280" t="n">
        <x:v>2.4348</x:v>
      </x:c>
      <x:c r="G365" s="281" t="n">
        <x:v>24.0202</x:v>
      </x:c>
      <x:c r="H365" s="281" t="n">
        <x:v>0.3818</x:v>
      </x:c>
      <x:c r="I365" s="281" t="n">
        <x:f>F365*'Assumptions'!$B$7*(1+'Assumptions'!$B$9)</x:f>
        <x:v>5.84352</x:v>
      </x:c>
      <x:c r="J365" s="281" t="n">
        <x:f>F365*('Assumptions'!$B$7+'Assumptions'!$B$8)*(1+'Assumptions'!$B$9)</x:f>
        <x:v>17.53056</x:v>
      </x:c>
      <x:c r="K365" s="296" t="n">
        <x:f>MAX(0,ROUNDUP(J365-E365,0))</x:f>
        <x:v>5</x:v>
      </x:c>
      <x:c r="L365" s="298" t="n">
        <x:f>IF(F365=0,"",E365/F365)</x:f>
        <x:v>5.3392475768030225</x:v>
      </x:c>
      <x:c r="M365" s="279" t="str">
        <x:f>IF(F365=0,IF(E365&gt;0,"No recent demand","No demand / no stock"),IF(E365&lt;=I365,"Order now",IF(L365&lt;='Assumptions'!$B$8,"Review soon","Sufficient stock")))</x:f>
        <x:v>Sufficient stock</x:v>
      </x:c>
      <x:c r="N365" s="300" t="n">
        <x:f>K365*H365</x:f>
        <x:v>1.9089999999999998</x:v>
      </x:c>
    </x:row>
    <x:row r="366" ht="16.5" customHeight="1">
      <x:c r="A366" s="290" t="str">
        <x:v>SKU1537</x:v>
      </x:c>
      <x:c r="B366" s="291" t="str">
        <x:v>Product 1537</x:v>
      </x:c>
      <x:c r="C366" s="291" t="str">
        <x:v>Store A</x:v>
      </x:c>
      <x:c r="D366" s="291" t="str">
        <x:v>Supplier 24</x:v>
      </x:c>
      <x:c r="E366" s="292" t="n">
        <x:v>0</x:v>
      </x:c>
      <x:c r="F366" s="292" t="n">
        <x:v>2.4348</x:v>
      </x:c>
      <x:c r="G366" s="293" t="n">
        <x:v>39.591</x:v>
      </x:c>
      <x:c r="H366" s="293" t="n">
        <x:v>0.4814</x:v>
      </x:c>
      <x:c r="I366" s="293" t="n">
        <x:f>F366*'Assumptions'!$B$7*(1+'Assumptions'!$B$9)</x:f>
        <x:v>5.84352</x:v>
      </x:c>
      <x:c r="J366" s="293" t="n">
        <x:f>F366*('Assumptions'!$B$7+'Assumptions'!$B$8)*(1+'Assumptions'!$B$9)</x:f>
        <x:v>17.53056</x:v>
      </x:c>
      <x:c r="K366" s="295" t="n">
        <x:f>MAX(0,ROUNDUP(J366-E366,0))</x:f>
        <x:v>18</x:v>
      </x:c>
      <x:c r="L366" s="297" t="n">
        <x:f>IF(F366=0,"",E366/F366)</x:f>
        <x:v>0</x:v>
      </x:c>
      <x:c r="M366" s="291" t="str">
        <x:f>IF(F366=0,IF(E366&gt;0,"No recent demand","No demand / no stock"),IF(E366&lt;=I366,"Order now",IF(L366&lt;='Assumptions'!$B$8,"Review soon","Sufficient stock")))</x:f>
        <x:v>Order now</x:v>
      </x:c>
      <x:c r="N366" s="299" t="n">
        <x:f>K366*H366</x:f>
        <x:v>8.6652</x:v>
      </x:c>
    </x:row>
    <x:row r="367" ht="16.5" customHeight="1">
      <x:c r="A367" s="278" t="str">
        <x:v>SKU1537</x:v>
      </x:c>
      <x:c r="B367" s="279" t="str">
        <x:v>Product 1537</x:v>
      </x:c>
      <x:c r="C367" s="279" t="str">
        <x:v>Store C</x:v>
      </x:c>
      <x:c r="D367" s="279" t="str">
        <x:v>Supplier 24</x:v>
      </x:c>
      <x:c r="E367" s="280" t="n">
        <x:v>0</x:v>
      </x:c>
      <x:c r="F367" s="280" t="n">
        <x:v>2.4348</x:v>
      </x:c>
      <x:c r="G367" s="281" t="n">
        <x:v>39.7155</x:v>
      </x:c>
      <x:c r="H367" s="281" t="n">
        <x:v>0.4814</x:v>
      </x:c>
      <x:c r="I367" s="281" t="n">
        <x:f>F367*'Assumptions'!$B$7*(1+'Assumptions'!$B$9)</x:f>
        <x:v>5.84352</x:v>
      </x:c>
      <x:c r="J367" s="281" t="n">
        <x:f>F367*('Assumptions'!$B$7+'Assumptions'!$B$8)*(1+'Assumptions'!$B$9)</x:f>
        <x:v>17.53056</x:v>
      </x:c>
      <x:c r="K367" s="296" t="n">
        <x:f>MAX(0,ROUNDUP(J367-E367,0))</x:f>
        <x:v>18</x:v>
      </x:c>
      <x:c r="L367" s="298" t="n">
        <x:f>IF(F367=0,"",E367/F367)</x:f>
        <x:v>0</x:v>
      </x:c>
      <x:c r="M367" s="279" t="str">
        <x:f>IF(F367=0,IF(E367&gt;0,"No recent demand","No demand / no stock"),IF(E367&lt;=I367,"Order now",IF(L367&lt;='Assumptions'!$B$8,"Review soon","Sufficient stock")))</x:f>
        <x:v>Order now</x:v>
      </x:c>
      <x:c r="N367" s="300" t="n">
        <x:f>K367*H367</x:f>
        <x:v>8.6652</x:v>
      </x:c>
    </x:row>
    <x:row r="368" ht="16.5" customHeight="1">
      <x:c r="A368" s="290" t="str">
        <x:v>SKU1547</x:v>
      </x:c>
      <x:c r="B368" s="291" t="str">
        <x:v>Product 1547</x:v>
      </x:c>
      <x:c r="C368" s="291" t="str">
        <x:v>Store C</x:v>
      </x:c>
      <x:c r="D368" s="291" t="str">
        <x:v>Supplier 24</x:v>
      </x:c>
      <x:c r="E368" s="292" t="n">
        <x:v>2</x:v>
      </x:c>
      <x:c r="F368" s="292" t="n">
        <x:v>2.4348</x:v>
      </x:c>
      <x:c r="G368" s="293" t="n">
        <x:v>26.477</x:v>
      </x:c>
      <x:c r="H368" s="293" t="n">
        <x:v>0.3154</x:v>
      </x:c>
      <x:c r="I368" s="293" t="n">
        <x:f>F368*'Assumptions'!$B$7*(1+'Assumptions'!$B$9)</x:f>
        <x:v>5.84352</x:v>
      </x:c>
      <x:c r="J368" s="293" t="n">
        <x:f>F368*('Assumptions'!$B$7+'Assumptions'!$B$8)*(1+'Assumptions'!$B$9)</x:f>
        <x:v>17.53056</x:v>
      </x:c>
      <x:c r="K368" s="295" t="n">
        <x:f>MAX(0,ROUNDUP(J368-E368,0))</x:f>
        <x:v>16</x:v>
      </x:c>
      <x:c r="L368" s="297" t="n">
        <x:f>IF(F368=0,"",E368/F368)</x:f>
        <x:v>0.8214227041235419</x:v>
      </x:c>
      <x:c r="M368" s="291" t="str">
        <x:f>IF(F368=0,IF(E368&gt;0,"No recent demand","No demand / no stock"),IF(E368&lt;=I368,"Order now",IF(L368&lt;='Assumptions'!$B$8,"Review soon","Sufficient stock")))</x:f>
        <x:v>Order now</x:v>
      </x:c>
      <x:c r="N368" s="299" t="n">
        <x:f>K368*H368</x:f>
        <x:v>5.0464</x:v>
      </x:c>
    </x:row>
    <x:row r="369" ht="16.5" customHeight="1">
      <x:c r="A369" s="278" t="str">
        <x:v>SKU1716</x:v>
      </x:c>
      <x:c r="B369" s="279" t="str">
        <x:v>Product 1716</x:v>
      </x:c>
      <x:c r="C369" s="279" t="str">
        <x:v>Store B</x:v>
      </x:c>
      <x:c r="D369" s="279" t="str">
        <x:v>Supplier 46</x:v>
      </x:c>
      <x:c r="E369" s="280" t="n">
        <x:v>0</x:v>
      </x:c>
      <x:c r="F369" s="280" t="n">
        <x:v>2.4348</x:v>
      </x:c>
      <x:c r="G369" s="281" t="n">
        <x:v>41.832</x:v>
      </x:c>
      <x:c r="H369" s="281" t="n">
        <x:v>0.5019</x:v>
      </x:c>
      <x:c r="I369" s="281" t="n">
        <x:f>F369*'Assumptions'!$B$7*(1+'Assumptions'!$B$9)</x:f>
        <x:v>5.84352</x:v>
      </x:c>
      <x:c r="J369" s="281" t="n">
        <x:f>F369*('Assumptions'!$B$7+'Assumptions'!$B$8)*(1+'Assumptions'!$B$9)</x:f>
        <x:v>17.53056</x:v>
      </x:c>
      <x:c r="K369" s="296" t="n">
        <x:f>MAX(0,ROUNDUP(J369-E369,0))</x:f>
        <x:v>18</x:v>
      </x:c>
      <x:c r="L369" s="298" t="n">
        <x:f>IF(F369=0,"",E369/F369)</x:f>
        <x:v>0</x:v>
      </x:c>
      <x:c r="M369" s="279" t="str">
        <x:f>IF(F369=0,IF(E369&gt;0,"No recent demand","No demand / no stock"),IF(E369&lt;=I369,"Order now",IF(L369&lt;='Assumptions'!$B$8,"Review soon","Sufficient stock")))</x:f>
        <x:v>Order now</x:v>
      </x:c>
      <x:c r="N369" s="300" t="n">
        <x:f>K369*H369</x:f>
        <x:v>9.0342</x:v>
      </x:c>
    </x:row>
    <x:row r="370" ht="16.5" customHeight="1">
      <x:c r="A370" s="290" t="str">
        <x:v>SKU0086</x:v>
      </x:c>
      <x:c r="B370" s="291" t="str">
        <x:v>Product 0086</x:v>
      </x:c>
      <x:c r="C370" s="291" t="str">
        <x:v>Store C</x:v>
      </x:c>
      <x:c r="D370" s="291" t="str">
        <x:v>Supplier 68</x:v>
      </x:c>
      <x:c r="E370" s="292" t="n">
        <x:v>11</x:v>
      </x:c>
      <x:c r="F370" s="292" t="n">
        <x:v>2.3587</x:v>
      </x:c>
      <x:c r="G370" s="293" t="n">
        <x:v>27.9378</x:v>
      </x:c>
      <x:c r="H370" s="293" t="n">
        <x:v>0.3735</x:v>
      </x:c>
      <x:c r="I370" s="293" t="n">
        <x:f>F370*'Assumptions'!$B$7*(1+'Assumptions'!$B$9)</x:f>
        <x:v>5.66088</x:v>
      </x:c>
      <x:c r="J370" s="293" t="n">
        <x:f>F370*('Assumptions'!$B$7+'Assumptions'!$B$8)*(1+'Assumptions'!$B$9)</x:f>
        <x:v>16.982639999999996</x:v>
      </x:c>
      <x:c r="K370" s="295" t="n">
        <x:f>MAX(0,ROUNDUP(J370-E370,0))</x:f>
        <x:v>6</x:v>
      </x:c>
      <x:c r="L370" s="297" t="n">
        <x:f>IF(F370=0,"",E370/F370)</x:f>
        <x:v>4.663585873574427</x:v>
      </x:c>
      <x:c r="M370" s="291" t="str">
        <x:f>IF(F370=0,IF(E370&gt;0,"No recent demand","No demand / no stock"),IF(E370&lt;=I370,"Order now",IF(L370&lt;='Assumptions'!$B$8,"Review soon","Sufficient stock")))</x:f>
        <x:v>Sufficient stock</x:v>
      </x:c>
      <x:c r="N370" s="299" t="n">
        <x:f>K370*H370</x:f>
        <x:v>2.241</x:v>
      </x:c>
    </x:row>
    <x:row r="371" ht="16.5" customHeight="1">
      <x:c r="A371" s="278" t="str">
        <x:v>SKU0095</x:v>
      </x:c>
      <x:c r="B371" s="279" t="str">
        <x:v>Product 0095</x:v>
      </x:c>
      <x:c r="C371" s="279" t="str">
        <x:v>Store C</x:v>
      </x:c>
      <x:c r="D371" s="279" t="str">
        <x:v>Supplier 68</x:v>
      </x:c>
      <x:c r="E371" s="280" t="n">
        <x:v>11</x:v>
      </x:c>
      <x:c r="F371" s="280" t="n">
        <x:v>2.3587</x:v>
      </x:c>
      <x:c r="G371" s="281" t="n">
        <x:v>28.1204</x:v>
      </x:c>
      <x:c r="H371" s="281" t="n">
        <x:v>0.3735</x:v>
      </x:c>
      <x:c r="I371" s="281" t="n">
        <x:f>F371*'Assumptions'!$B$7*(1+'Assumptions'!$B$9)</x:f>
        <x:v>5.66088</x:v>
      </x:c>
      <x:c r="J371" s="281" t="n">
        <x:f>F371*('Assumptions'!$B$7+'Assumptions'!$B$8)*(1+'Assumptions'!$B$9)</x:f>
        <x:v>16.982639999999996</x:v>
      </x:c>
      <x:c r="K371" s="296" t="n">
        <x:f>MAX(0,ROUNDUP(J371-E371,0))</x:f>
        <x:v>6</x:v>
      </x:c>
      <x:c r="L371" s="298" t="n">
        <x:f>IF(F371=0,"",E371/F371)</x:f>
        <x:v>4.663585873574427</x:v>
      </x:c>
      <x:c r="M371" s="279" t="str">
        <x:f>IF(F371=0,IF(E371&gt;0,"No recent demand","No demand / no stock"),IF(E371&lt;=I371,"Order now",IF(L371&lt;='Assumptions'!$B$8,"Review soon","Sufficient stock")))</x:f>
        <x:v>Sufficient stock</x:v>
      </x:c>
      <x:c r="N371" s="300" t="n">
        <x:f>K371*H371</x:f>
        <x:v>2.241</x:v>
      </x:c>
    </x:row>
    <x:row r="372" ht="16.5" customHeight="1">
      <x:c r="A372" s="290" t="str">
        <x:v>SKU0108</x:v>
      </x:c>
      <x:c r="B372" s="291" t="str">
        <x:v>Product 0108</x:v>
      </x:c>
      <x:c r="C372" s="291" t="str">
        <x:v>Store A</x:v>
      </x:c>
      <x:c r="D372" s="291" t="str">
        <x:v>Supplier 68</x:v>
      </x:c>
      <x:c r="E372" s="292" t="n">
        <x:v>12</x:v>
      </x:c>
      <x:c r="F372" s="292" t="n">
        <x:v>2.3587</x:v>
      </x:c>
      <x:c r="G372" s="293" t="n">
        <x:v>27.39</x:v>
      </x:c>
      <x:c r="H372" s="293" t="n">
        <x:v>0.3735</x:v>
      </x:c>
      <x:c r="I372" s="293" t="n">
        <x:f>F372*'Assumptions'!$B$7*(1+'Assumptions'!$B$9)</x:f>
        <x:v>5.66088</x:v>
      </x:c>
      <x:c r="J372" s="293" t="n">
        <x:f>F372*('Assumptions'!$B$7+'Assumptions'!$B$8)*(1+'Assumptions'!$B$9)</x:f>
        <x:v>16.982639999999996</x:v>
      </x:c>
      <x:c r="K372" s="295" t="n">
        <x:f>MAX(0,ROUNDUP(J372-E372,0))</x:f>
        <x:v>5</x:v>
      </x:c>
      <x:c r="L372" s="297" t="n">
        <x:f>IF(F372=0,"",E372/F372)</x:f>
        <x:v>5.087548225717557</x:v>
      </x:c>
      <x:c r="M372" s="291" t="str">
        <x:f>IF(F372=0,IF(E372&gt;0,"No recent demand","No demand / no stock"),IF(E372&lt;=I372,"Order now",IF(L372&lt;='Assumptions'!$B$8,"Review soon","Sufficient stock")))</x:f>
        <x:v>Sufficient stock</x:v>
      </x:c>
      <x:c r="N372" s="299" t="n">
        <x:f>K372*H372</x:f>
        <x:v>1.8675</x:v>
      </x:c>
    </x:row>
    <x:row r="373" ht="16.5" customHeight="1">
      <x:c r="A373" s="278" t="str">
        <x:v>SKU0874</x:v>
      </x:c>
      <x:c r="B373" s="279" t="str">
        <x:v>Product 0874</x:v>
      </x:c>
      <x:c r="C373" s="279" t="str">
        <x:v>Store C</x:v>
      </x:c>
      <x:c r="D373" s="279" t="str">
        <x:v>Supplier 19</x:v>
      </x:c>
      <x:c r="E373" s="280" t="n">
        <x:v>20</x:v>
      </x:c>
      <x:c r="F373" s="280" t="n">
        <x:v>2.3587</x:v>
      </x:c>
      <x:c r="G373" s="281" t="n">
        <x:v>9.96</x:v>
      </x:c>
      <x:c r="H373" s="281" t="n">
        <x:v>0.1245</x:v>
      </x:c>
      <x:c r="I373" s="281" t="n">
        <x:f>F373*'Assumptions'!$B$7*(1+'Assumptions'!$B$9)</x:f>
        <x:v>5.66088</x:v>
      </x:c>
      <x:c r="J373" s="281" t="n">
        <x:f>F373*('Assumptions'!$B$7+'Assumptions'!$B$8)*(1+'Assumptions'!$B$9)</x:f>
        <x:v>16.982639999999996</x:v>
      </x:c>
      <x:c r="K373" s="296" t="n">
        <x:f>MAX(0,ROUNDUP(J373-E373,0))</x:f>
        <x:v>0</x:v>
      </x:c>
      <x:c r="L373" s="298" t="n">
        <x:f>IF(F373=0,"",E373/F373)</x:f>
        <x:v>8.479247042862594</x:v>
      </x:c>
      <x:c r="M373" s="279" t="str">
        <x:f>IF(F373=0,IF(E373&gt;0,"No recent demand","No demand / no stock"),IF(E373&lt;=I373,"Order now",IF(L373&lt;='Assumptions'!$B$8,"Review soon","Sufficient stock")))</x:f>
        <x:v>Sufficient stock</x:v>
      </x:c>
      <x:c r="N373" s="300" t="n">
        <x:f>K373*H373</x:f>
        <x:v>0</x:v>
      </x:c>
    </x:row>
    <x:row r="374" ht="16.5" customHeight="1">
      <x:c r="A374" s="290" t="str">
        <x:v>SKU0899</x:v>
      </x:c>
      <x:c r="B374" s="291" t="str">
        <x:v>Product 0899</x:v>
      </x:c>
      <x:c r="C374" s="291" t="str">
        <x:v>Store A</x:v>
      </x:c>
      <x:c r="D374" s="291" t="str">
        <x:v>Supplier 02</x:v>
      </x:c>
      <x:c r="E374" s="292" t="n">
        <x:v>22</x:v>
      </x:c>
      <x:c r="F374" s="292" t="n">
        <x:v>2.3587</x:v>
      </x:c>
      <x:c r="G374" s="293" t="n">
        <x:v>15.2886</x:v>
      </x:c>
      <x:c r="H374" s="293" t="n">
        <x:v>0.1577</x:v>
      </x:c>
      <x:c r="I374" s="293" t="n">
        <x:f>F374*'Assumptions'!$B$7*(1+'Assumptions'!$B$9)</x:f>
        <x:v>5.66088</x:v>
      </x:c>
      <x:c r="J374" s="293" t="n">
        <x:f>F374*('Assumptions'!$B$7+'Assumptions'!$B$8)*(1+'Assumptions'!$B$9)</x:f>
        <x:v>16.982639999999996</x:v>
      </x:c>
      <x:c r="K374" s="295" t="n">
        <x:f>MAX(0,ROUNDUP(J374-E374,0))</x:f>
        <x:v>0</x:v>
      </x:c>
      <x:c r="L374" s="297" t="n">
        <x:f>IF(F374=0,"",E374/F374)</x:f>
        <x:v>9.327171747148855</x:v>
      </x:c>
      <x:c r="M374" s="291" t="str">
        <x:f>IF(F374=0,IF(E374&gt;0,"No recent demand","No demand / no stock"),IF(E374&lt;=I374,"Order now",IF(L374&lt;='Assumptions'!$B$8,"Review soon","Sufficient stock")))</x:f>
        <x:v>Sufficient stock</x:v>
      </x:c>
      <x:c r="N374" s="299" t="n">
        <x:f>K374*H374</x:f>
        <x:v>0</x:v>
      </x:c>
    </x:row>
    <x:row r="375" ht="16.5" customHeight="1">
      <x:c r="A375" s="278" t="str">
        <x:v>SKU0924</x:v>
      </x:c>
      <x:c r="B375" s="279" t="str">
        <x:v>Product 0924</x:v>
      </x:c>
      <x:c r="C375" s="279" t="str">
        <x:v>Store C</x:v>
      </x:c>
      <x:c r="D375" s="279" t="str">
        <x:v>Supplier 69</x:v>
      </x:c>
      <x:c r="E375" s="280" t="n">
        <x:v>30</x:v>
      </x:c>
      <x:c r="F375" s="280" t="n">
        <x:v>2.3587</x:v>
      </x:c>
      <x:c r="G375" s="281" t="n">
        <x:v>6.059</x:v>
      </x:c>
      <x:c r="H375" s="281" t="n">
        <x:v>0.1003</x:v>
      </x:c>
      <x:c r="I375" s="281" t="n">
        <x:f>F375*'Assumptions'!$B$7*(1+'Assumptions'!$B$9)</x:f>
        <x:v>5.66088</x:v>
      </x:c>
      <x:c r="J375" s="281" t="n">
        <x:f>F375*('Assumptions'!$B$7+'Assumptions'!$B$8)*(1+'Assumptions'!$B$9)</x:f>
        <x:v>16.982639999999996</x:v>
      </x:c>
      <x:c r="K375" s="296" t="n">
        <x:f>MAX(0,ROUNDUP(J375-E375,0))</x:f>
        <x:v>0</x:v>
      </x:c>
      <x:c r="L375" s="298" t="n">
        <x:f>IF(F375=0,"",E375/F375)</x:f>
        <x:v>12.718870564293892</x:v>
      </x:c>
      <x:c r="M375" s="279" t="str">
        <x:f>IF(F375=0,IF(E375&gt;0,"No recent demand","No demand / no stock"),IF(E375&lt;=I375,"Order now",IF(L375&lt;='Assumptions'!$B$8,"Review soon","Sufficient stock")))</x:f>
        <x:v>Sufficient stock</x:v>
      </x:c>
      <x:c r="N375" s="300" t="n">
        <x:f>K375*H375</x:f>
        <x:v>0</x:v>
      </x:c>
    </x:row>
    <x:row r="376" ht="16.5" customHeight="1">
      <x:c r="A376" s="290" t="str">
        <x:v>SKU1202</x:v>
      </x:c>
      <x:c r="B376" s="291" t="str">
        <x:v>Product 1202</x:v>
      </x:c>
      <x:c r="C376" s="291" t="str">
        <x:v>Store C</x:v>
      </x:c>
      <x:c r="D376" s="291" t="str">
        <x:v>Multiple suppliers</x:v>
      </x:c>
      <x:c r="E376" s="292" t="n">
        <x:v>5</x:v>
      </x:c>
      <x:c r="F376" s="292" t="n">
        <x:v>2.3587</x:v>
      </x:c>
      <x:c r="G376" s="293" t="n">
        <x:v>72.957</x:v>
      </x:c>
      <x:c r="H376" s="293" t="n">
        <x:v>1.2367</x:v>
      </x:c>
      <x:c r="I376" s="293" t="n">
        <x:f>F376*'Assumptions'!$B$7*(1+'Assumptions'!$B$9)</x:f>
        <x:v>5.66088</x:v>
      </x:c>
      <x:c r="J376" s="293" t="n">
        <x:f>F376*('Assumptions'!$B$7+'Assumptions'!$B$8)*(1+'Assumptions'!$B$9)</x:f>
        <x:v>16.982639999999996</x:v>
      </x:c>
      <x:c r="K376" s="295" t="n">
        <x:f>MAX(0,ROUNDUP(J376-E376,0))</x:f>
        <x:v>12</x:v>
      </x:c>
      <x:c r="L376" s="297" t="n">
        <x:f>IF(F376=0,"",E376/F376)</x:f>
        <x:v>2.1198117607156486</x:v>
      </x:c>
      <x:c r="M376" s="291" t="str">
        <x:f>IF(F376=0,IF(E376&gt;0,"No recent demand","No demand / no stock"),IF(E376&lt;=I376,"Order now",IF(L376&lt;='Assumptions'!$B$8,"Review soon","Sufficient stock")))</x:f>
        <x:v>Order now</x:v>
      </x:c>
      <x:c r="N376" s="299" t="n">
        <x:f>K376*H376</x:f>
        <x:v>14.840399999999999</x:v>
      </x:c>
    </x:row>
    <x:row r="377" ht="16.5" customHeight="1">
      <x:c r="A377" s="278" t="str">
        <x:v>SKU1217</x:v>
      </x:c>
      <x:c r="B377" s="279" t="str">
        <x:v>Product 1217</x:v>
      </x:c>
      <x:c r="C377" s="279" t="str">
        <x:v>Store C</x:v>
      </x:c>
      <x:c r="D377" s="279" t="str">
        <x:v>Supplier 24</x:v>
      </x:c>
      <x:c r="E377" s="280" t="n">
        <x:v>16</x:v>
      </x:c>
      <x:c r="F377" s="280" t="n">
        <x:v>2.3587</x:v>
      </x:c>
      <x:c r="G377" s="281" t="n">
        <x:v>16.7245</x:v>
      </x:c>
      <x:c r="H377" s="281" t="n">
        <x:v>0.2739</x:v>
      </x:c>
      <x:c r="I377" s="281" t="n">
        <x:f>F377*'Assumptions'!$B$7*(1+'Assumptions'!$B$9)</x:f>
        <x:v>5.66088</x:v>
      </x:c>
      <x:c r="J377" s="281" t="n">
        <x:f>F377*('Assumptions'!$B$7+'Assumptions'!$B$8)*(1+'Assumptions'!$B$9)</x:f>
        <x:v>16.982639999999996</x:v>
      </x:c>
      <x:c r="K377" s="296" t="n">
        <x:f>MAX(0,ROUNDUP(J377-E377,0))</x:f>
        <x:v>1</x:v>
      </x:c>
      <x:c r="L377" s="298" t="n">
        <x:f>IF(F377=0,"",E377/F377)</x:f>
        <x:v>6.7833976342900755</x:v>
      </x:c>
      <x:c r="M377" s="279" t="str">
        <x:f>IF(F377=0,IF(E377&gt;0,"No recent demand","No demand / no stock"),IF(E377&lt;=I377,"Order now",IF(L377&lt;='Assumptions'!$B$8,"Review soon","Sufficient stock")))</x:f>
        <x:v>Sufficient stock</x:v>
      </x:c>
      <x:c r="N377" s="300" t="n">
        <x:f>K377*H377</x:f>
        <x:v>0.2739</x:v>
      </x:c>
    </x:row>
    <x:row r="378" ht="16.5" customHeight="1">
      <x:c r="A378" s="290" t="str">
        <x:v>SKU1234</x:v>
      </x:c>
      <x:c r="B378" s="291" t="str">
        <x:v>Product 1234</x:v>
      </x:c>
      <x:c r="C378" s="291" t="str">
        <x:v>Store C</x:v>
      </x:c>
      <x:c r="D378" s="291" t="str">
        <x:v>Supplier 24</x:v>
      </x:c>
      <x:c r="E378" s="292" t="n">
        <x:v>0</x:v>
      </x:c>
      <x:c r="F378" s="292" t="n">
        <x:v>2.3587</x:v>
      </x:c>
      <x:c r="G378" s="293" t="n">
        <x:v>59.179</x:v>
      </x:c>
      <x:c r="H378" s="293" t="n">
        <x:v>0</x:v>
      </x:c>
      <x:c r="I378" s="293" t="n">
        <x:f>F378*'Assumptions'!$B$7*(1+'Assumptions'!$B$9)</x:f>
        <x:v>5.66088</x:v>
      </x:c>
      <x:c r="J378" s="293" t="n">
        <x:f>F378*('Assumptions'!$B$7+'Assumptions'!$B$8)*(1+'Assumptions'!$B$9)</x:f>
        <x:v>16.982639999999996</x:v>
      </x:c>
      <x:c r="K378" s="295" t="n">
        <x:f>MAX(0,ROUNDUP(J378-E378,0))</x:f>
        <x:v>17</x:v>
      </x:c>
      <x:c r="L378" s="297" t="n">
        <x:f>IF(F378=0,"",E378/F378)</x:f>
        <x:v>0</x:v>
      </x:c>
      <x:c r="M378" s="291" t="str">
        <x:f>IF(F378=0,IF(E378&gt;0,"No recent demand","No demand / no stock"),IF(E378&lt;=I378,"Order now",IF(L378&lt;='Assumptions'!$B$8,"Review soon","Sufficient stock")))</x:f>
        <x:v>Order now</x:v>
      </x:c>
      <x:c r="N378" s="299" t="n">
        <x:f>K378*H378</x:f>
        <x:v>0</x:v>
      </x:c>
    </x:row>
    <x:row r="379" ht="16.5" customHeight="1">
      <x:c r="A379" s="278" t="str">
        <x:v>SKU1332</x:v>
      </x:c>
      <x:c r="B379" s="279" t="str">
        <x:v>Product 1332</x:v>
      </x:c>
      <x:c r="C379" s="279" t="str">
        <x:v>Store A</x:v>
      </x:c>
      <x:c r="D379" s="279" t="str">
        <x:v>Supplier 03</x:v>
      </x:c>
      <x:c r="E379" s="280" t="n">
        <x:v>29</x:v>
      </x:c>
      <x:c r="F379" s="280" t="n">
        <x:v>2.3587</x:v>
      </x:c>
      <x:c r="G379" s="281" t="n">
        <x:v>39.0432</x:v>
      </x:c>
      <x:c r="H379" s="281" t="n">
        <x:v>0.5727</x:v>
      </x:c>
      <x:c r="I379" s="281" t="n">
        <x:f>F379*'Assumptions'!$B$7*(1+'Assumptions'!$B$9)</x:f>
        <x:v>5.66088</x:v>
      </x:c>
      <x:c r="J379" s="281" t="n">
        <x:f>F379*('Assumptions'!$B$7+'Assumptions'!$B$8)*(1+'Assumptions'!$B$9)</x:f>
        <x:v>16.982639999999996</x:v>
      </x:c>
      <x:c r="K379" s="296" t="n">
        <x:f>MAX(0,ROUNDUP(J379-E379,0))</x:f>
        <x:v>0</x:v>
      </x:c>
      <x:c r="L379" s="298" t="n">
        <x:f>IF(F379=0,"",E379/F379)</x:f>
        <x:v>12.294908212150762</x:v>
      </x:c>
      <x:c r="M379" s="279" t="str">
        <x:f>IF(F379=0,IF(E379&gt;0,"No recent demand","No demand / no stock"),IF(E379&lt;=I379,"Order now",IF(L379&lt;='Assumptions'!$B$8,"Review soon","Sufficient stock")))</x:f>
        <x:v>Sufficient stock</x:v>
      </x:c>
      <x:c r="N379" s="300" t="n">
        <x:f>K379*H379</x:f>
        <x:v>0</x:v>
      </x:c>
    </x:row>
    <x:row r="380" ht="16.5" customHeight="1">
      <x:c r="A380" s="290" t="str">
        <x:v>SKU1364</x:v>
      </x:c>
      <x:c r="B380" s="291" t="str">
        <x:v>Product 1364</x:v>
      </x:c>
      <x:c r="C380" s="291" t="str">
        <x:v>Store C</x:v>
      </x:c>
      <x:c r="D380" s="291" t="str">
        <x:v>Supplier 24</x:v>
      </x:c>
      <x:c r="E380" s="292" t="n">
        <x:v>26</x:v>
      </x:c>
      <x:c r="F380" s="292" t="n">
        <x:v>2.3587</x:v>
      </x:c>
      <x:c r="G380" s="293" t="n">
        <x:v>63.495</x:v>
      </x:c>
      <x:c r="H380" s="293" t="n">
        <x:v>0.7886</x:v>
      </x:c>
      <x:c r="I380" s="293" t="n">
        <x:f>F380*'Assumptions'!$B$7*(1+'Assumptions'!$B$9)</x:f>
        <x:v>5.66088</x:v>
      </x:c>
      <x:c r="J380" s="293" t="n">
        <x:f>F380*('Assumptions'!$B$7+'Assumptions'!$B$8)*(1+'Assumptions'!$B$9)</x:f>
        <x:v>16.982639999999996</x:v>
      </x:c>
      <x:c r="K380" s="295" t="n">
        <x:f>MAX(0,ROUNDUP(J380-E380,0))</x:f>
        <x:v>0</x:v>
      </x:c>
      <x:c r="L380" s="297" t="n">
        <x:f>IF(F380=0,"",E380/F380)</x:f>
        <x:v>11.023021155721374</x:v>
      </x:c>
      <x:c r="M380" s="291" t="str">
        <x:f>IF(F380=0,IF(E380&gt;0,"No recent demand","No demand / no stock"),IF(E380&lt;=I380,"Order now",IF(L380&lt;='Assumptions'!$B$8,"Review soon","Sufficient stock")))</x:f>
        <x:v>Sufficient stock</x:v>
      </x:c>
      <x:c r="N380" s="299" t="n">
        <x:f>K380*H380</x:f>
        <x:v>0</x:v>
      </x:c>
    </x:row>
    <x:row r="381" ht="16.5" customHeight="1">
      <x:c r="A381" s="278" t="str">
        <x:v>SKU1513</x:v>
      </x:c>
      <x:c r="B381" s="279" t="str">
        <x:v>Product 1513</x:v>
      </x:c>
      <x:c r="C381" s="279" t="str">
        <x:v>Store A</x:v>
      </x:c>
      <x:c r="D381" s="279" t="str">
        <x:v>Supplier 24</x:v>
      </x:c>
      <x:c r="E381" s="280" t="n">
        <x:v>10</x:v>
      </x:c>
      <x:c r="F381" s="280" t="n">
        <x:v>2.3587</x:v>
      </x:c>
      <x:c r="G381" s="281" t="n">
        <x:v>23.7795</x:v>
      </x:c>
      <x:c r="H381" s="281" t="n">
        <x:v>0.3818</x:v>
      </x:c>
      <x:c r="I381" s="281" t="n">
        <x:f>F381*'Assumptions'!$B$7*(1+'Assumptions'!$B$9)</x:f>
        <x:v>5.66088</x:v>
      </x:c>
      <x:c r="J381" s="281" t="n">
        <x:f>F381*('Assumptions'!$B$7+'Assumptions'!$B$8)*(1+'Assumptions'!$B$9)</x:f>
        <x:v>16.982639999999996</x:v>
      </x:c>
      <x:c r="K381" s="296" t="n">
        <x:f>MAX(0,ROUNDUP(J381-E381,0))</x:f>
        <x:v>7</x:v>
      </x:c>
      <x:c r="L381" s="298" t="n">
        <x:f>IF(F381=0,"",E381/F381)</x:f>
        <x:v>4.239623521431297</x:v>
      </x:c>
      <x:c r="M381" s="279" t="str">
        <x:f>IF(F381=0,IF(E381&gt;0,"No recent demand","No demand / no stock"),IF(E381&lt;=I381,"Order now",IF(L381&lt;='Assumptions'!$B$8,"Review soon","Sufficient stock")))</x:f>
        <x:v>Sufficient stock</x:v>
      </x:c>
      <x:c r="N381" s="300" t="n">
        <x:f>K381*H381</x:f>
        <x:v>2.6725999999999996</x:v>
      </x:c>
    </x:row>
    <x:row r="382" ht="16.5" customHeight="1">
      <x:c r="A382" s="290" t="str">
        <x:v>SKU1537</x:v>
      </x:c>
      <x:c r="B382" s="291" t="str">
        <x:v>Product 1537</x:v>
      </x:c>
      <x:c r="C382" s="291" t="str">
        <x:v>Store B</x:v>
      </x:c>
      <x:c r="D382" s="291" t="str">
        <x:v>Supplier 24</x:v>
      </x:c>
      <x:c r="E382" s="292" t="n">
        <x:v>0</x:v>
      </x:c>
      <x:c r="F382" s="292" t="n">
        <x:v>2.3587</x:v>
      </x:c>
      <x:c r="G382" s="293" t="n">
        <x:v>38.097</x:v>
      </x:c>
      <x:c r="H382" s="293" t="n">
        <x:v>0.4814</x:v>
      </x:c>
      <x:c r="I382" s="293" t="n">
        <x:f>F382*'Assumptions'!$B$7*(1+'Assumptions'!$B$9)</x:f>
        <x:v>5.66088</x:v>
      </x:c>
      <x:c r="J382" s="293" t="n">
        <x:f>F382*('Assumptions'!$B$7+'Assumptions'!$B$8)*(1+'Assumptions'!$B$9)</x:f>
        <x:v>16.982639999999996</x:v>
      </x:c>
      <x:c r="K382" s="295" t="n">
        <x:f>MAX(0,ROUNDUP(J382-E382,0))</x:f>
        <x:v>17</x:v>
      </x:c>
      <x:c r="L382" s="297" t="n">
        <x:f>IF(F382=0,"",E382/F382)</x:f>
        <x:v>0</x:v>
      </x:c>
      <x:c r="M382" s="291" t="str">
        <x:f>IF(F382=0,IF(E382&gt;0,"No recent demand","No demand / no stock"),IF(E382&lt;=I382,"Order now",IF(L382&lt;='Assumptions'!$B$8,"Review soon","Sufficient stock")))</x:f>
        <x:v>Order now</x:v>
      </x:c>
      <x:c r="N382" s="299" t="n">
        <x:f>K382*H382</x:f>
        <x:v>8.1838</x:v>
      </x:c>
    </x:row>
    <x:row r="383" ht="16.5" customHeight="1">
      <x:c r="A383" s="278" t="str">
        <x:v>SKU1768</x:v>
      </x:c>
      <x:c r="B383" s="279" t="str">
        <x:v>Product 1768</x:v>
      </x:c>
      <x:c r="C383" s="279" t="str">
        <x:v>Store C</x:v>
      </x:c>
      <x:c r="D383" s="279" t="str">
        <x:v>Multiple suppliers</x:v>
      </x:c>
      <x:c r="E383" s="280" t="n">
        <x:v>0</x:v>
      </x:c>
      <x:c r="F383" s="280" t="n">
        <x:v>2.3587</x:v>
      </x:c>
      <x:c r="G383" s="281" t="n">
        <x:v>66.6822</x:v>
      </x:c>
      <x:c r="H383" s="281" t="n">
        <x:v>0.7965</x:v>
      </x:c>
      <x:c r="I383" s="281" t="n">
        <x:f>F383*'Assumptions'!$B$7*(1+'Assumptions'!$B$9)</x:f>
        <x:v>5.66088</x:v>
      </x:c>
      <x:c r="J383" s="281" t="n">
        <x:f>F383*('Assumptions'!$B$7+'Assumptions'!$B$8)*(1+'Assumptions'!$B$9)</x:f>
        <x:v>16.982639999999996</x:v>
      </x:c>
      <x:c r="K383" s="296" t="n">
        <x:f>MAX(0,ROUNDUP(J383-E383,0))</x:f>
        <x:v>17</x:v>
      </x:c>
      <x:c r="L383" s="298" t="n">
        <x:f>IF(F383=0,"",E383/F383)</x:f>
        <x:v>0</x:v>
      </x:c>
      <x:c r="M383" s="279" t="str">
        <x:f>IF(F383=0,IF(E383&gt;0,"No recent demand","No demand / no stock"),IF(E383&lt;=I383,"Order now",IF(L383&lt;='Assumptions'!$B$8,"Review soon","Sufficient stock")))</x:f>
        <x:v>Order now</x:v>
      </x:c>
      <x:c r="N383" s="300" t="n">
        <x:f>K383*H383</x:f>
        <x:v>13.5405</x:v>
      </x:c>
    </x:row>
    <x:row r="384" ht="16.5" customHeight="1">
      <x:c r="A384" s="290" t="str">
        <x:v>SKU0100</x:v>
      </x:c>
      <x:c r="B384" s="291" t="str">
        <x:v>Product 0100</x:v>
      </x:c>
      <x:c r="C384" s="291" t="str">
        <x:v>Store A</x:v>
      </x:c>
      <x:c r="D384" s="291" t="str">
        <x:v>Supplier 68</x:v>
      </x:c>
      <x:c r="E384" s="292" t="n">
        <x:v>0</x:v>
      </x:c>
      <x:c r="F384" s="292" t="n">
        <x:v>2.2826</x:v>
      </x:c>
      <x:c r="G384" s="293" t="n">
        <x:v>2.573</x:v>
      </x:c>
      <x:c r="H384" s="293" t="n">
        <x:v>0.0744</x:v>
      </x:c>
      <x:c r="I384" s="293" t="n">
        <x:f>F384*'Assumptions'!$B$7*(1+'Assumptions'!$B$9)</x:f>
        <x:v>5.4782399999999996</x:v>
      </x:c>
      <x:c r="J384" s="293" t="n">
        <x:f>F384*('Assumptions'!$B$7+'Assumptions'!$B$8)*(1+'Assumptions'!$B$9)</x:f>
        <x:v>16.43472</x:v>
      </x:c>
      <x:c r="K384" s="295" t="n">
        <x:f>MAX(0,ROUNDUP(J384-E384,0))</x:f>
        <x:v>17</x:v>
      </x:c>
      <x:c r="L384" s="297" t="n">
        <x:f>IF(F384=0,"",E384/F384)</x:f>
        <x:v>0</x:v>
      </x:c>
      <x:c r="M384" s="291" t="str">
        <x:f>IF(F384=0,IF(E384&gt;0,"No recent demand","No demand / no stock"),IF(E384&lt;=I384,"Order now",IF(L384&lt;='Assumptions'!$B$8,"Review soon","Sufficient stock")))</x:f>
        <x:v>Order now</x:v>
      </x:c>
      <x:c r="N384" s="299" t="n">
        <x:f>K384*H384</x:f>
        <x:v>1.2648</x:v>
      </x:c>
    </x:row>
    <x:row r="385" ht="16.5" customHeight="1">
      <x:c r="A385" s="278" t="str">
        <x:v>SKU0209</x:v>
      </x:c>
      <x:c r="B385" s="279" t="str">
        <x:v>Product 0209</x:v>
      </x:c>
      <x:c r="C385" s="279" t="str">
        <x:v>Store A</x:v>
      </x:c>
      <x:c r="D385" s="279" t="str">
        <x:v>Supplier 59</x:v>
      </x:c>
      <x:c r="E385" s="280" t="n">
        <x:v>0</x:v>
      </x:c>
      <x:c r="F385" s="280" t="n">
        <x:v>2.2826</x:v>
      </x:c>
      <x:c r="G385" s="281" t="n">
        <x:v>17.596</x:v>
      </x:c>
      <x:c r="H385" s="281" t="n">
        <x:v>0.5148</x:v>
      </x:c>
      <x:c r="I385" s="281" t="n">
        <x:f>F385*'Assumptions'!$B$7*(1+'Assumptions'!$B$9)</x:f>
        <x:v>5.4782399999999996</x:v>
      </x:c>
      <x:c r="J385" s="281" t="n">
        <x:f>F385*('Assumptions'!$B$7+'Assumptions'!$B$8)*(1+'Assumptions'!$B$9)</x:f>
        <x:v>16.43472</x:v>
      </x:c>
      <x:c r="K385" s="296" t="n">
        <x:f>MAX(0,ROUNDUP(J385-E385,0))</x:f>
        <x:v>17</x:v>
      </x:c>
      <x:c r="L385" s="298" t="n">
        <x:f>IF(F385=0,"",E385/F385)</x:f>
        <x:v>0</x:v>
      </x:c>
      <x:c r="M385" s="279" t="str">
        <x:f>IF(F385=0,IF(E385&gt;0,"No recent demand","No demand / no stock"),IF(E385&lt;=I385,"Order now",IF(L385&lt;='Assumptions'!$B$8,"Review soon","Sufficient stock")))</x:f>
        <x:v>Order now</x:v>
      </x:c>
      <x:c r="N385" s="300" t="n">
        <x:f>K385*H385</x:f>
        <x:v>8.7516</x:v>
      </x:c>
    </x:row>
    <x:row r="386" ht="16.5" customHeight="1">
      <x:c r="A386" s="290" t="str">
        <x:v>SKU0612</x:v>
      </x:c>
      <x:c r="B386" s="291" t="str">
        <x:v>Product 0612</x:v>
      </x:c>
      <x:c r="C386" s="291" t="str">
        <x:v>Store C</x:v>
      </x:c>
      <x:c r="D386" s="291" t="str">
        <x:v>Supplier 17</x:v>
      </x:c>
      <x:c r="E386" s="292" t="n">
        <x:v>0</x:v>
      </x:c>
      <x:c r="F386" s="292" t="n">
        <x:v>2.2826</x:v>
      </x:c>
      <x:c r="G386" s="293" t="n">
        <x:v>34.5114</x:v>
      </x:c>
      <x:c r="H386" s="293" t="n">
        <x:v>0.5395</x:v>
      </x:c>
      <x:c r="I386" s="293" t="n">
        <x:f>F386*'Assumptions'!$B$7*(1+'Assumptions'!$B$9)</x:f>
        <x:v>5.4782399999999996</x:v>
      </x:c>
      <x:c r="J386" s="293" t="n">
        <x:f>F386*('Assumptions'!$B$7+'Assumptions'!$B$8)*(1+'Assumptions'!$B$9)</x:f>
        <x:v>16.43472</x:v>
      </x:c>
      <x:c r="K386" s="295" t="n">
        <x:f>MAX(0,ROUNDUP(J386-E386,0))</x:f>
        <x:v>17</x:v>
      </x:c>
      <x:c r="L386" s="297" t="n">
        <x:f>IF(F386=0,"",E386/F386)</x:f>
        <x:v>0</x:v>
      </x:c>
      <x:c r="M386" s="291" t="str">
        <x:f>IF(F386=0,IF(E386&gt;0,"No recent demand","No demand / no stock"),IF(E386&lt;=I386,"Order now",IF(L386&lt;='Assumptions'!$B$8,"Review soon","Sufficient stock")))</x:f>
        <x:v>Order now</x:v>
      </x:c>
      <x:c r="N386" s="299" t="n">
        <x:f>K386*H386</x:f>
        <x:v>9.1715</x:v>
      </x:c>
    </x:row>
    <x:row r="387" ht="16.5" customHeight="1">
      <x:c r="A387" s="278" t="str">
        <x:v>SKU0633</x:v>
      </x:c>
      <x:c r="B387" s="279" t="str">
        <x:v>Product 0633</x:v>
      </x:c>
      <x:c r="C387" s="279" t="str">
        <x:v>Store A</x:v>
      </x:c>
      <x:c r="D387" s="279" t="str">
        <x:v>Supplier 02</x:v>
      </x:c>
      <x:c r="E387" s="280" t="n">
        <x:v>19</x:v>
      </x:c>
      <x:c r="F387" s="280" t="n">
        <x:v>2.2826</x:v>
      </x:c>
      <x:c r="G387" s="281" t="n">
        <x:v>59.5608</x:v>
      </x:c>
      <x:c r="H387" s="281" t="n">
        <x:v>0.7968</x:v>
      </x:c>
      <x:c r="I387" s="281" t="n">
        <x:f>F387*'Assumptions'!$B$7*(1+'Assumptions'!$B$9)</x:f>
        <x:v>5.4782399999999996</x:v>
      </x:c>
      <x:c r="J387" s="281" t="n">
        <x:f>F387*('Assumptions'!$B$7+'Assumptions'!$B$8)*(1+'Assumptions'!$B$9)</x:f>
        <x:v>16.43472</x:v>
      </x:c>
      <x:c r="K387" s="296" t="n">
        <x:f>MAX(0,ROUNDUP(J387-E387,0))</x:f>
        <x:v>0</x:v>
      </x:c>
      <x:c r="L387" s="298" t="n">
        <x:f>IF(F387=0,"",E387/F387)</x:f>
        <x:v>8.32384123368089</x:v>
      </x:c>
      <x:c r="M387" s="279" t="str">
        <x:f>IF(F387=0,IF(E387&gt;0,"No recent demand","No demand / no stock"),IF(E387&lt;=I387,"Order now",IF(L387&lt;='Assumptions'!$B$8,"Review soon","Sufficient stock")))</x:f>
        <x:v>Sufficient stock</x:v>
      </x:c>
      <x:c r="N387" s="300" t="n">
        <x:f>K387*H387</x:f>
        <x:v>0</x:v>
      </x:c>
    </x:row>
    <x:row r="388" ht="16.5" customHeight="1">
      <x:c r="A388" s="290" t="str">
        <x:v>SKU0634</x:v>
      </x:c>
      <x:c r="B388" s="291" t="str">
        <x:v>Product 0634</x:v>
      </x:c>
      <x:c r="C388" s="291" t="str">
        <x:v>Store C</x:v>
      </x:c>
      <x:c r="D388" s="291" t="str">
        <x:v>Supplier 02</x:v>
      </x:c>
      <x:c r="E388" s="292" t="n">
        <x:v>0</x:v>
      </x:c>
      <x:c r="F388" s="292" t="n">
        <x:v>2.2826</x:v>
      </x:c>
      <x:c r="G388" s="293" t="n">
        <x:v>54.0496</x:v>
      </x:c>
      <x:c r="H388" s="293" t="n">
        <x:v>0.7289</x:v>
      </x:c>
      <x:c r="I388" s="293" t="n">
        <x:f>F388*'Assumptions'!$B$7*(1+'Assumptions'!$B$9)</x:f>
        <x:v>5.4782399999999996</x:v>
      </x:c>
      <x:c r="J388" s="293" t="n">
        <x:f>F388*('Assumptions'!$B$7+'Assumptions'!$B$8)*(1+'Assumptions'!$B$9)</x:f>
        <x:v>16.43472</x:v>
      </x:c>
      <x:c r="K388" s="295" t="n">
        <x:f>MAX(0,ROUNDUP(J388-E388,0))</x:f>
        <x:v>17</x:v>
      </x:c>
      <x:c r="L388" s="297" t="n">
        <x:f>IF(F388=0,"",E388/F388)</x:f>
        <x:v>0</x:v>
      </x:c>
      <x:c r="M388" s="291" t="str">
        <x:f>IF(F388=0,IF(E388&gt;0,"No recent demand","No demand / no stock"),IF(E388&lt;=I388,"Order now",IF(L388&lt;='Assumptions'!$B$8,"Review soon","Sufficient stock")))</x:f>
        <x:v>Order now</x:v>
      </x:c>
      <x:c r="N388" s="299" t="n">
        <x:f>K388*H388</x:f>
        <x:v>12.3913</x:v>
      </x:c>
    </x:row>
    <x:row r="389" ht="16.5" customHeight="1">
      <x:c r="A389" s="278" t="str">
        <x:v>SKU0659</x:v>
      </x:c>
      <x:c r="B389" s="279" t="str">
        <x:v>Product 0659</x:v>
      </x:c>
      <x:c r="C389" s="279" t="str">
        <x:v>Store B</x:v>
      </x:c>
      <x:c r="D389" s="279" t="str">
        <x:v>Supplier 16</x:v>
      </x:c>
      <x:c r="E389" s="280" t="n">
        <x:v>-1</x:v>
      </x:c>
      <x:c r="F389" s="280" t="n">
        <x:v>2.2826</x:v>
      </x:c>
      <x:c r="G389" s="281" t="n">
        <x:v>24.651</x:v>
      </x:c>
      <x:c r="H389" s="281" t="n">
        <x:v>0.2714</x:v>
      </x:c>
      <x:c r="I389" s="281" t="n">
        <x:f>F389*'Assumptions'!$B$7*(1+'Assumptions'!$B$9)</x:f>
        <x:v>5.4782399999999996</x:v>
      </x:c>
      <x:c r="J389" s="281" t="n">
        <x:f>F389*('Assumptions'!$B$7+'Assumptions'!$B$8)*(1+'Assumptions'!$B$9)</x:f>
        <x:v>16.43472</x:v>
      </x:c>
      <x:c r="K389" s="296" t="n">
        <x:f>MAX(0,ROUNDUP(J389-E389,0))</x:f>
        <x:v>18</x:v>
      </x:c>
      <x:c r="L389" s="298" t="n">
        <x:f>IF(F389=0,"",E389/F389)</x:f>
        <x:v>-0.4380969070358363</x:v>
      </x:c>
      <x:c r="M389" s="279" t="str">
        <x:f>IF(F389=0,IF(E389&gt;0,"No recent demand","No demand / no stock"),IF(E389&lt;=I389,"Order now",IF(L389&lt;='Assumptions'!$B$8,"Review soon","Sufficient stock")))</x:f>
        <x:v>Order now</x:v>
      </x:c>
      <x:c r="N389" s="300" t="n">
        <x:f>K389*H389</x:f>
        <x:v>4.885199999999999</x:v>
      </x:c>
    </x:row>
    <x:row r="390" ht="16.5" customHeight="1">
      <x:c r="A390" s="290" t="str">
        <x:v>SKU0659</x:v>
      </x:c>
      <x:c r="B390" s="291" t="str">
        <x:v>Product 0659</x:v>
      </x:c>
      <x:c r="C390" s="291" t="str">
        <x:v>Store C</x:v>
      </x:c>
      <x:c r="D390" s="291" t="str">
        <x:v>Supplier 16</x:v>
      </x:c>
      <x:c r="E390" s="292" t="n">
        <x:v>1</x:v>
      </x:c>
      <x:c r="F390" s="292" t="n">
        <x:v>2.2826</x:v>
      </x:c>
      <x:c r="G390" s="293" t="n">
        <x:v>24.9</x:v>
      </x:c>
      <x:c r="H390" s="293" t="n">
        <x:v>0.2714</x:v>
      </x:c>
      <x:c r="I390" s="293" t="n">
        <x:f>F390*'Assumptions'!$B$7*(1+'Assumptions'!$B$9)</x:f>
        <x:v>5.4782399999999996</x:v>
      </x:c>
      <x:c r="J390" s="293" t="n">
        <x:f>F390*('Assumptions'!$B$7+'Assumptions'!$B$8)*(1+'Assumptions'!$B$9)</x:f>
        <x:v>16.43472</x:v>
      </x:c>
      <x:c r="K390" s="295" t="n">
        <x:f>MAX(0,ROUNDUP(J390-E390,0))</x:f>
        <x:v>16</x:v>
      </x:c>
      <x:c r="L390" s="297" t="n">
        <x:f>IF(F390=0,"",E390/F390)</x:f>
        <x:v>0.4380969070358363</x:v>
      </x:c>
      <x:c r="M390" s="291" t="str">
        <x:f>IF(F390=0,IF(E390&gt;0,"No recent demand","No demand / no stock"),IF(E390&lt;=I390,"Order now",IF(L390&lt;='Assumptions'!$B$8,"Review soon","Sufficient stock")))</x:f>
        <x:v>Order now</x:v>
      </x:c>
      <x:c r="N390" s="299" t="n">
        <x:f>K390*H390</x:f>
        <x:v>4.3424</x:v>
      </x:c>
    </x:row>
    <x:row r="391" ht="16.5" customHeight="1">
      <x:c r="A391" s="278" t="str">
        <x:v>SKU0661</x:v>
      </x:c>
      <x:c r="B391" s="279" t="str">
        <x:v>Product 0661</x:v>
      </x:c>
      <x:c r="C391" s="279" t="str">
        <x:v>Store C</x:v>
      </x:c>
      <x:c r="D391" s="279" t="str">
        <x:v>Supplier 16</x:v>
      </x:c>
      <x:c r="E391" s="280" t="n">
        <x:v>4</x:v>
      </x:c>
      <x:c r="F391" s="280" t="n">
        <x:v>2.2826</x:v>
      </x:c>
      <x:c r="G391" s="281" t="n">
        <x:v>37.101</x:v>
      </x:c>
      <x:c r="H391" s="281" t="n">
        <x:v>0.415</x:v>
      </x:c>
      <x:c r="I391" s="281" t="n">
        <x:f>F391*'Assumptions'!$B$7*(1+'Assumptions'!$B$9)</x:f>
        <x:v>5.4782399999999996</x:v>
      </x:c>
      <x:c r="J391" s="281" t="n">
        <x:f>F391*('Assumptions'!$B$7+'Assumptions'!$B$8)*(1+'Assumptions'!$B$9)</x:f>
        <x:v>16.43472</x:v>
      </x:c>
      <x:c r="K391" s="296" t="n">
        <x:f>MAX(0,ROUNDUP(J391-E391,0))</x:f>
        <x:v>13</x:v>
      </x:c>
      <x:c r="L391" s="298" t="n">
        <x:f>IF(F391=0,"",E391/F391)</x:f>
        <x:v>1.7523876281433453</x:v>
      </x:c>
      <x:c r="M391" s="279" t="str">
        <x:f>IF(F391=0,IF(E391&gt;0,"No recent demand","No demand / no stock"),IF(E391&lt;=I391,"Order now",IF(L391&lt;='Assumptions'!$B$8,"Review soon","Sufficient stock")))</x:f>
        <x:v>Order now</x:v>
      </x:c>
      <x:c r="N391" s="300" t="n">
        <x:f>K391*H391</x:f>
        <x:v>5.395</x:v>
      </x:c>
    </x:row>
    <x:row r="392" ht="16.5" customHeight="1">
      <x:c r="A392" s="290" t="str">
        <x:v>SKU0666</x:v>
      </x:c>
      <x:c r="B392" s="291" t="str">
        <x:v>Product 0666</x:v>
      </x:c>
      <x:c r="C392" s="291" t="str">
        <x:v>Store A</x:v>
      </x:c>
      <x:c r="D392" s="291" t="str">
        <x:v>Supplier 61</x:v>
      </x:c>
      <x:c r="E392" s="292" t="n">
        <x:v>0</x:v>
      </x:c>
      <x:c r="F392" s="292" t="n">
        <x:v>2.2826</x:v>
      </x:c>
      <x:c r="G392" s="293" t="n">
        <x:v>114.3408</x:v>
      </x:c>
      <x:c r="H392" s="293" t="n">
        <x:v>1.9125</x:v>
      </x:c>
      <x:c r="I392" s="293" t="n">
        <x:f>F392*'Assumptions'!$B$7*(1+'Assumptions'!$B$9)</x:f>
        <x:v>5.4782399999999996</x:v>
      </x:c>
      <x:c r="J392" s="293" t="n">
        <x:f>F392*('Assumptions'!$B$7+'Assumptions'!$B$8)*(1+'Assumptions'!$B$9)</x:f>
        <x:v>16.43472</x:v>
      </x:c>
      <x:c r="K392" s="295" t="n">
        <x:f>MAX(0,ROUNDUP(J392-E392,0))</x:f>
        <x:v>17</x:v>
      </x:c>
      <x:c r="L392" s="297" t="n">
        <x:f>IF(F392=0,"",E392/F392)</x:f>
        <x:v>0</x:v>
      </x:c>
      <x:c r="M392" s="291" t="str">
        <x:f>IF(F392=0,IF(E392&gt;0,"No recent demand","No demand / no stock"),IF(E392&lt;=I392,"Order now",IF(L392&lt;='Assumptions'!$B$8,"Review soon","Sufficient stock")))</x:f>
        <x:v>Order now</x:v>
      </x:c>
      <x:c r="N392" s="299" t="n">
        <x:f>K392*H392</x:f>
        <x:v>32.5125</x:v>
      </x:c>
    </x:row>
    <x:row r="393" ht="16.5" customHeight="1">
      <x:c r="A393" s="278" t="str">
        <x:v>SKU0712</x:v>
      </x:c>
      <x:c r="B393" s="279" t="str">
        <x:v>Product 0712</x:v>
      </x:c>
      <x:c r="C393" s="279" t="str">
        <x:v>Store B</x:v>
      </x:c>
      <x:c r="D393" s="279" t="str">
        <x:v>Supplier 02</x:v>
      </x:c>
      <x:c r="E393" s="280" t="n">
        <x:v>1</x:v>
      </x:c>
      <x:c r="F393" s="280" t="n">
        <x:v>2.2826</x:v>
      </x:c>
      <x:c r="G393" s="281" t="n">
        <x:v>37.2255</x:v>
      </x:c>
      <x:c r="H393" s="281" t="n">
        <x:v>0.3072</x:v>
      </x:c>
      <x:c r="I393" s="281" t="n">
        <x:f>F393*'Assumptions'!$B$7*(1+'Assumptions'!$B$9)</x:f>
        <x:v>5.4782399999999996</x:v>
      </x:c>
      <x:c r="J393" s="281" t="n">
        <x:f>F393*('Assumptions'!$B$7+'Assumptions'!$B$8)*(1+'Assumptions'!$B$9)</x:f>
        <x:v>16.43472</x:v>
      </x:c>
      <x:c r="K393" s="296" t="n">
        <x:f>MAX(0,ROUNDUP(J393-E393,0))</x:f>
        <x:v>16</x:v>
      </x:c>
      <x:c r="L393" s="298" t="n">
        <x:f>IF(F393=0,"",E393/F393)</x:f>
        <x:v>0.4380969070358363</x:v>
      </x:c>
      <x:c r="M393" s="279" t="str">
        <x:f>IF(F393=0,IF(E393&gt;0,"No recent demand","No demand / no stock"),IF(E393&lt;=I393,"Order now",IF(L393&lt;='Assumptions'!$B$8,"Review soon","Sufficient stock")))</x:f>
        <x:v>Order now</x:v>
      </x:c>
      <x:c r="N393" s="300" t="n">
        <x:f>K393*H393</x:f>
        <x:v>4.9152</x:v>
      </x:c>
    </x:row>
    <x:row r="394" ht="16.5" customHeight="1">
      <x:c r="A394" s="290" t="str">
        <x:v>SKU0807</x:v>
      </x:c>
      <x:c r="B394" s="291" t="str">
        <x:v>Product 0807</x:v>
      </x:c>
      <x:c r="C394" s="291" t="str">
        <x:v>Store B</x:v>
      </x:c>
      <x:c r="D394" s="291" t="str">
        <x:v>Supplier 66</x:v>
      </x:c>
      <x:c r="E394" s="292" t="n">
        <x:v>17</x:v>
      </x:c>
      <x:c r="F394" s="292" t="n">
        <x:v>2.2826</x:v>
      </x:c>
      <x:c r="G394" s="293" t="n">
        <x:v>39.0432</x:v>
      </x:c>
      <x:c r="H394" s="293" t="n">
        <x:v>0.2739</x:v>
      </x:c>
      <x:c r="I394" s="293" t="n">
        <x:f>F394*'Assumptions'!$B$7*(1+'Assumptions'!$B$9)</x:f>
        <x:v>5.4782399999999996</x:v>
      </x:c>
      <x:c r="J394" s="293" t="n">
        <x:f>F394*('Assumptions'!$B$7+'Assumptions'!$B$8)*(1+'Assumptions'!$B$9)</x:f>
        <x:v>16.43472</x:v>
      </x:c>
      <x:c r="K394" s="295" t="n">
        <x:f>MAX(0,ROUNDUP(J394-E394,0))</x:f>
        <x:v>0</x:v>
      </x:c>
      <x:c r="L394" s="297" t="n">
        <x:f>IF(F394=0,"",E394/F394)</x:f>
        <x:v>7.4476474196092175</x:v>
      </x:c>
      <x:c r="M394" s="291" t="str">
        <x:f>IF(F394=0,IF(E394&gt;0,"No recent demand","No demand / no stock"),IF(E394&lt;=I394,"Order now",IF(L394&lt;='Assumptions'!$B$8,"Review soon","Sufficient stock")))</x:f>
        <x:v>Sufficient stock</x:v>
      </x:c>
      <x:c r="N394" s="299" t="n">
        <x:f>K394*H394</x:f>
        <x:v>0</x:v>
      </x:c>
    </x:row>
    <x:row r="395" ht="16.5" customHeight="1">
      <x:c r="A395" s="278" t="str">
        <x:v>SKU0906</x:v>
      </x:c>
      <x:c r="B395" s="279" t="str">
        <x:v>Product 0906</x:v>
      </x:c>
      <x:c r="C395" s="279" t="str">
        <x:v>Store B</x:v>
      </x:c>
      <x:c r="D395" s="279" t="str">
        <x:v>Supplier 69</x:v>
      </x:c>
      <x:c r="E395" s="280" t="n">
        <x:v>9</x:v>
      </x:c>
      <x:c r="F395" s="280" t="n">
        <x:v>2.2826</x:v>
      </x:c>
      <x:c r="G395" s="281" t="n">
        <x:v>64.408</x:v>
      </x:c>
      <x:c r="H395" s="281" t="n">
        <x:v>0.7055</x:v>
      </x:c>
      <x:c r="I395" s="281" t="n">
        <x:f>F395*'Assumptions'!$B$7*(1+'Assumptions'!$B$9)</x:f>
        <x:v>5.4782399999999996</x:v>
      </x:c>
      <x:c r="J395" s="281" t="n">
        <x:f>F395*('Assumptions'!$B$7+'Assumptions'!$B$8)*(1+'Assumptions'!$B$9)</x:f>
        <x:v>16.43472</x:v>
      </x:c>
      <x:c r="K395" s="296" t="n">
        <x:f>MAX(0,ROUNDUP(J395-E395,0))</x:f>
        <x:v>8</x:v>
      </x:c>
      <x:c r="L395" s="298" t="n">
        <x:f>IF(F395=0,"",E395/F395)</x:f>
        <x:v>3.942872163322527</x:v>
      </x:c>
      <x:c r="M395" s="279" t="str">
        <x:f>IF(F395=0,IF(E395&gt;0,"No recent demand","No demand / no stock"),IF(E395&lt;=I395,"Order now",IF(L395&lt;='Assumptions'!$B$8,"Review soon","Sufficient stock")))</x:f>
        <x:v>Review soon</x:v>
      </x:c>
      <x:c r="N395" s="300" t="n">
        <x:f>K395*H395</x:f>
        <x:v>5.644</x:v>
      </x:c>
    </x:row>
    <x:row r="396" ht="16.5" customHeight="1">
      <x:c r="A396" s="290" t="str">
        <x:v>SKU1096</x:v>
      </x:c>
      <x:c r="B396" s="291" t="str">
        <x:v>Product 1096</x:v>
      </x:c>
      <x:c r="C396" s="291" t="str">
        <x:v>Store A</x:v>
      </x:c>
      <x:c r="D396" s="291" t="str">
        <x:v>Supplier 09</x:v>
      </x:c>
      <x:c r="E396" s="292" t="n">
        <x:v>16</x:v>
      </x:c>
      <x:c r="F396" s="292" t="n">
        <x:v>2.2826</x:v>
      </x:c>
      <x:c r="G396" s="293" t="n">
        <x:v>42.8778</x:v>
      </x:c>
      <x:c r="H396" s="293" t="n">
        <x:v>0.415</x:v>
      </x:c>
      <x:c r="I396" s="293" t="n">
        <x:f>F396*'Assumptions'!$B$7*(1+'Assumptions'!$B$9)</x:f>
        <x:v>5.4782399999999996</x:v>
      </x:c>
      <x:c r="J396" s="293" t="n">
        <x:f>F396*('Assumptions'!$B$7+'Assumptions'!$B$8)*(1+'Assumptions'!$B$9)</x:f>
        <x:v>16.43472</x:v>
      </x:c>
      <x:c r="K396" s="295" t="n">
        <x:f>MAX(0,ROUNDUP(J396-E396,0))</x:f>
        <x:v>1</x:v>
      </x:c>
      <x:c r="L396" s="297" t="n">
        <x:f>IF(F396=0,"",E396/F396)</x:f>
        <x:v>7.009550512573381</x:v>
      </x:c>
      <x:c r="M396" s="291" t="str">
        <x:f>IF(F396=0,IF(E396&gt;0,"No recent demand","No demand / no stock"),IF(E396&lt;=I396,"Order now",IF(L396&lt;='Assumptions'!$B$8,"Review soon","Sufficient stock")))</x:f>
        <x:v>Sufficient stock</x:v>
      </x:c>
      <x:c r="N396" s="299" t="n">
        <x:f>K396*H396</x:f>
        <x:v>0.415</x:v>
      </x:c>
    </x:row>
    <x:row r="397" ht="16.5" customHeight="1">
      <x:c r="A397" s="278" t="str">
        <x:v>SKU1096</x:v>
      </x:c>
      <x:c r="B397" s="279" t="str">
        <x:v>Product 1096</x:v>
      </x:c>
      <x:c r="C397" s="279" t="str">
        <x:v>Store B</x:v>
      </x:c>
      <x:c r="D397" s="279" t="str">
        <x:v>Supplier 09</x:v>
      </x:c>
      <x:c r="E397" s="280" t="n">
        <x:v>15</x:v>
      </x:c>
      <x:c r="F397" s="280" t="n">
        <x:v>2.2826</x:v>
      </x:c>
      <x:c r="G397" s="281" t="n">
        <x:v>43.6248</x:v>
      </x:c>
      <x:c r="H397" s="281" t="n">
        <x:v>0.415</x:v>
      </x:c>
      <x:c r="I397" s="281" t="n">
        <x:f>F397*'Assumptions'!$B$7*(1+'Assumptions'!$B$9)</x:f>
        <x:v>5.4782399999999996</x:v>
      </x:c>
      <x:c r="J397" s="281" t="n">
        <x:f>F397*('Assumptions'!$B$7+'Assumptions'!$B$8)*(1+'Assumptions'!$B$9)</x:f>
        <x:v>16.43472</x:v>
      </x:c>
      <x:c r="K397" s="296" t="n">
        <x:f>MAX(0,ROUNDUP(J397-E397,0))</x:f>
        <x:v>2</x:v>
      </x:c>
      <x:c r="L397" s="298" t="n">
        <x:f>IF(F397=0,"",E397/F397)</x:f>
        <x:v>6.571453605537545</x:v>
      </x:c>
      <x:c r="M397" s="279" t="str">
        <x:f>IF(F397=0,IF(E397&gt;0,"No recent demand","No demand / no stock"),IF(E397&lt;=I397,"Order now",IF(L397&lt;='Assumptions'!$B$8,"Review soon","Sufficient stock")))</x:f>
        <x:v>Sufficient stock</x:v>
      </x:c>
      <x:c r="N397" s="300" t="n">
        <x:f>K397*H397</x:f>
        <x:v>0.83</x:v>
      </x:c>
    </x:row>
    <x:row r="398" ht="16.5" customHeight="1">
      <x:c r="A398" s="290" t="str">
        <x:v>SKU1249</x:v>
      </x:c>
      <x:c r="B398" s="291" t="str">
        <x:v>Product 1249</x:v>
      </x:c>
      <x:c r="C398" s="291" t="str">
        <x:v>Store C</x:v>
      </x:c>
      <x:c r="D398" s="291" t="str">
        <x:v>Supplier 24</x:v>
      </x:c>
      <x:c r="E398" s="292" t="n">
        <x:v>0</x:v>
      </x:c>
      <x:c r="F398" s="292" t="n">
        <x:v>2.2826</x:v>
      </x:c>
      <x:c r="G398" s="293" t="n">
        <x:v>24.07</x:v>
      </x:c>
      <x:c r="H398" s="293" t="n">
        <x:v>0.3154</x:v>
      </x:c>
      <x:c r="I398" s="293" t="n">
        <x:f>F398*'Assumptions'!$B$7*(1+'Assumptions'!$B$9)</x:f>
        <x:v>5.4782399999999996</x:v>
      </x:c>
      <x:c r="J398" s="293" t="n">
        <x:f>F398*('Assumptions'!$B$7+'Assumptions'!$B$8)*(1+'Assumptions'!$B$9)</x:f>
        <x:v>16.43472</x:v>
      </x:c>
      <x:c r="K398" s="295" t="n">
        <x:f>MAX(0,ROUNDUP(J398-E398,0))</x:f>
        <x:v>17</x:v>
      </x:c>
      <x:c r="L398" s="297" t="n">
        <x:f>IF(F398=0,"",E398/F398)</x:f>
        <x:v>0</x:v>
      </x:c>
      <x:c r="M398" s="291" t="str">
        <x:f>IF(F398=0,IF(E398&gt;0,"No recent demand","No demand / no stock"),IF(E398&lt;=I398,"Order now",IF(L398&lt;='Assumptions'!$B$8,"Review soon","Sufficient stock")))</x:f>
        <x:v>Order now</x:v>
      </x:c>
      <x:c r="N398" s="299" t="n">
        <x:f>K398*H398</x:f>
        <x:v>5.361800000000001</x:v>
      </x:c>
    </x:row>
    <x:row r="399" ht="16.5" customHeight="1">
      <x:c r="A399" s="278" t="str">
        <x:v>SKU1299</x:v>
      </x:c>
      <x:c r="B399" s="279" t="str">
        <x:v>Product 1299</x:v>
      </x:c>
      <x:c r="C399" s="279" t="str">
        <x:v>Store C</x:v>
      </x:c>
      <x:c r="D399" s="279" t="str">
        <x:v>Supplier 17</x:v>
      </x:c>
      <x:c r="E399" s="280" t="n">
        <x:v>0</x:v>
      </x:c>
      <x:c r="F399" s="280" t="n">
        <x:v>2.2826</x:v>
      </x:c>
      <x:c r="G399" s="281" t="n">
        <x:v>34.86</x:v>
      </x:c>
      <x:c r="H399" s="281" t="n">
        <x:v>0.5397</x:v>
      </x:c>
      <x:c r="I399" s="281" t="n">
        <x:f>F399*'Assumptions'!$B$7*(1+'Assumptions'!$B$9)</x:f>
        <x:v>5.4782399999999996</x:v>
      </x:c>
      <x:c r="J399" s="281" t="n">
        <x:f>F399*('Assumptions'!$B$7+'Assumptions'!$B$8)*(1+'Assumptions'!$B$9)</x:f>
        <x:v>16.43472</x:v>
      </x:c>
      <x:c r="K399" s="296" t="n">
        <x:f>MAX(0,ROUNDUP(J399-E399,0))</x:f>
        <x:v>17</x:v>
      </x:c>
      <x:c r="L399" s="298" t="n">
        <x:f>IF(F399=0,"",E399/F399)</x:f>
        <x:v>0</x:v>
      </x:c>
      <x:c r="M399" s="279" t="str">
        <x:f>IF(F399=0,IF(E399&gt;0,"No recent demand","No demand / no stock"),IF(E399&lt;=I399,"Order now",IF(L399&lt;='Assumptions'!$B$8,"Review soon","Sufficient stock")))</x:f>
        <x:v>Order now</x:v>
      </x:c>
      <x:c r="N399" s="300" t="n">
        <x:f>K399*H399</x:f>
        <x:v>9.1749</x:v>
      </x:c>
    </x:row>
    <x:row r="400" ht="16.5" customHeight="1">
      <x:c r="A400" s="290" t="str">
        <x:v>SKU1322</x:v>
      </x:c>
      <x:c r="B400" s="291" t="str">
        <x:v>Product 1322</x:v>
      </x:c>
      <x:c r="C400" s="291" t="str">
        <x:v>Store B</x:v>
      </x:c>
      <x:c r="D400" s="291" t="str">
        <x:v>Supplier 03</x:v>
      </x:c>
      <x:c r="E400" s="292" t="n">
        <x:v>0</x:v>
      </x:c>
      <x:c r="F400" s="292" t="n">
        <x:v>2.2826</x:v>
      </x:c>
      <x:c r="G400" s="293" t="n">
        <x:v>41.6245</x:v>
      </x:c>
      <x:c r="H400" s="293" t="n">
        <x:v>0.6225</x:v>
      </x:c>
      <x:c r="I400" s="293" t="n">
        <x:f>F400*'Assumptions'!$B$7*(1+'Assumptions'!$B$9)</x:f>
        <x:v>5.4782399999999996</x:v>
      </x:c>
      <x:c r="J400" s="293" t="n">
        <x:f>F400*('Assumptions'!$B$7+'Assumptions'!$B$8)*(1+'Assumptions'!$B$9)</x:f>
        <x:v>16.43472</x:v>
      </x:c>
      <x:c r="K400" s="295" t="n">
        <x:f>MAX(0,ROUNDUP(J400-E400,0))</x:f>
        <x:v>17</x:v>
      </x:c>
      <x:c r="L400" s="297" t="n">
        <x:f>IF(F400=0,"",E400/F400)</x:f>
        <x:v>0</x:v>
      </x:c>
      <x:c r="M400" s="291" t="str">
        <x:f>IF(F400=0,IF(E400&gt;0,"No recent demand","No demand / no stock"),IF(E400&lt;=I400,"Order now",IF(L400&lt;='Assumptions'!$B$8,"Review soon","Sufficient stock")))</x:f>
        <x:v>Order now</x:v>
      </x:c>
      <x:c r="N400" s="299" t="n">
        <x:f>K400*H400</x:f>
        <x:v>10.582500000000001</x:v>
      </x:c>
    </x:row>
    <x:row r="401" ht="16.5" customHeight="1">
      <x:c r="A401" s="278" t="str">
        <x:v>SKU1613</x:v>
      </x:c>
      <x:c r="B401" s="279" t="str">
        <x:v>Product 1613</x:v>
      </x:c>
      <x:c r="C401" s="279" t="str">
        <x:v>Store A</x:v>
      </x:c>
      <x:c r="D401" s="279" t="str">
        <x:v>Supplier 07</x:v>
      </x:c>
      <x:c r="E401" s="280" t="n">
        <x:v>0</x:v>
      </x:c>
      <x:c r="F401" s="280" t="n">
        <x:v>2.2826</x:v>
      </x:c>
      <x:c r="G401" s="281" t="n">
        <x:v>30.212</x:v>
      </x:c>
      <x:c r="H401" s="281" t="n">
        <x:v>0.664</x:v>
      </x:c>
      <x:c r="I401" s="281" t="n">
        <x:f>F401*'Assumptions'!$B$7*(1+'Assumptions'!$B$9)</x:f>
        <x:v>5.4782399999999996</x:v>
      </x:c>
      <x:c r="J401" s="281" t="n">
        <x:f>F401*('Assumptions'!$B$7+'Assumptions'!$B$8)*(1+'Assumptions'!$B$9)</x:f>
        <x:v>16.43472</x:v>
      </x:c>
      <x:c r="K401" s="296" t="n">
        <x:f>MAX(0,ROUNDUP(J401-E401,0))</x:f>
        <x:v>17</x:v>
      </x:c>
      <x:c r="L401" s="298" t="n">
        <x:f>IF(F401=0,"",E401/F401)</x:f>
        <x:v>0</x:v>
      </x:c>
      <x:c r="M401" s="279" t="str">
        <x:f>IF(F401=0,IF(E401&gt;0,"No recent demand","No demand / no stock"),IF(E401&lt;=I401,"Order now",IF(L401&lt;='Assumptions'!$B$8,"Review soon","Sufficient stock")))</x:f>
        <x:v>Order now</x:v>
      </x:c>
      <x:c r="N401" s="300" t="n">
        <x:f>K401*H401</x:f>
        <x:v>11.288</x:v>
      </x:c>
    </x:row>
    <x:row r="402" ht="16.5" customHeight="1">
      <x:c r="A402" s="290" t="str">
        <x:v>SKU1616</x:v>
      </x:c>
      <x:c r="B402" s="291" t="str">
        <x:v>Product 1616</x:v>
      </x:c>
      <x:c r="C402" s="291" t="str">
        <x:v>Store A</x:v>
      </x:c>
      <x:c r="D402" s="291" t="str">
        <x:v>Supplier 07</x:v>
      </x:c>
      <x:c r="E402" s="292" t="n">
        <x:v>3</x:v>
      </x:c>
      <x:c r="F402" s="292" t="n">
        <x:v>2.2826</x:v>
      </x:c>
      <x:c r="G402" s="293" t="n">
        <x:v>41.0601</x:v>
      </x:c>
      <x:c r="H402" s="293" t="n">
        <x:v>0.664</x:v>
      </x:c>
      <x:c r="I402" s="293" t="n">
        <x:f>F402*'Assumptions'!$B$7*(1+'Assumptions'!$B$9)</x:f>
        <x:v>5.4782399999999996</x:v>
      </x:c>
      <x:c r="J402" s="293" t="n">
        <x:f>F402*('Assumptions'!$B$7+'Assumptions'!$B$8)*(1+'Assumptions'!$B$9)</x:f>
        <x:v>16.43472</x:v>
      </x:c>
      <x:c r="K402" s="295" t="n">
        <x:f>MAX(0,ROUNDUP(J402-E402,0))</x:f>
        <x:v>14</x:v>
      </x:c>
      <x:c r="L402" s="297" t="n">
        <x:f>IF(F402=0,"",E402/F402)</x:f>
        <x:v>1.314290721107509</x:v>
      </x:c>
      <x:c r="M402" s="291" t="str">
        <x:f>IF(F402=0,IF(E402&gt;0,"No recent demand","No demand / no stock"),IF(E402&lt;=I402,"Order now",IF(L402&lt;='Assumptions'!$B$8,"Review soon","Sufficient stock")))</x:f>
        <x:v>Order now</x:v>
      </x:c>
      <x:c r="N402" s="299" t="n">
        <x:f>K402*H402</x:f>
        <x:v>9.296000000000001</x:v>
      </x:c>
    </x:row>
    <x:row r="403" ht="16.5" customHeight="1">
      <x:c r="A403" s="278" t="str">
        <x:v>SKU1734</x:v>
      </x:c>
      <x:c r="B403" s="279" t="str">
        <x:v>Product 1734</x:v>
      </x:c>
      <x:c r="C403" s="279" t="str">
        <x:v>Store A</x:v>
      </x:c>
      <x:c r="D403" s="279" t="str">
        <x:v>Supplier 09</x:v>
      </x:c>
      <x:c r="E403" s="280" t="n">
        <x:v>37</x:v>
      </x:c>
      <x:c r="F403" s="280" t="n">
        <x:v>2.2826</x:v>
      </x:c>
      <x:c r="G403" s="281" t="n">
        <x:v>43.0272</x:v>
      </x:c>
      <x:c r="H403" s="281" t="n">
        <x:v>0.415</x:v>
      </x:c>
      <x:c r="I403" s="281" t="n">
        <x:f>F403*'Assumptions'!$B$7*(1+'Assumptions'!$B$9)</x:f>
        <x:v>5.4782399999999996</x:v>
      </x:c>
      <x:c r="J403" s="281" t="n">
        <x:f>F403*('Assumptions'!$B$7+'Assumptions'!$B$8)*(1+'Assumptions'!$B$9)</x:f>
        <x:v>16.43472</x:v>
      </x:c>
      <x:c r="K403" s="296" t="n">
        <x:f>MAX(0,ROUNDUP(J403-E403,0))</x:f>
        <x:v>0</x:v>
      </x:c>
      <x:c r="L403" s="298" t="n">
        <x:f>IF(F403=0,"",E403/F403)</x:f>
        <x:v>16.209585560325944</x:v>
      </x:c>
      <x:c r="M403" s="279" t="str">
        <x:f>IF(F403=0,IF(E403&gt;0,"No recent demand","No demand / no stock"),IF(E403&lt;=I403,"Order now",IF(L403&lt;='Assumptions'!$B$8,"Review soon","Sufficient stock")))</x:f>
        <x:v>Sufficient stock</x:v>
      </x:c>
      <x:c r="N403" s="300" t="n">
        <x:f>K403*H403</x:f>
        <x:v>0</x:v>
      </x:c>
    </x:row>
    <x:row r="404" ht="16.5" customHeight="1">
      <x:c r="A404" s="290" t="str">
        <x:v>SKU1734</x:v>
      </x:c>
      <x:c r="B404" s="291" t="str">
        <x:v>Product 1734</x:v>
      </x:c>
      <x:c r="C404" s="291" t="str">
        <x:v>Store C</x:v>
      </x:c>
      <x:c r="D404" s="291" t="str">
        <x:v>Supplier 09</x:v>
      </x:c>
      <x:c r="E404" s="292" t="n">
        <x:v>21</x:v>
      </x:c>
      <x:c r="F404" s="292" t="n">
        <x:v>2.2826</x:v>
      </x:c>
      <x:c r="G404" s="293" t="n">
        <x:v>44.5212</x:v>
      </x:c>
      <x:c r="H404" s="293" t="n">
        <x:v>0.415</x:v>
      </x:c>
      <x:c r="I404" s="293" t="n">
        <x:f>F404*'Assumptions'!$B$7*(1+'Assumptions'!$B$9)</x:f>
        <x:v>5.4782399999999996</x:v>
      </x:c>
      <x:c r="J404" s="293" t="n">
        <x:f>F404*('Assumptions'!$B$7+'Assumptions'!$B$8)*(1+'Assumptions'!$B$9)</x:f>
        <x:v>16.43472</x:v>
      </x:c>
      <x:c r="K404" s="295" t="n">
        <x:f>MAX(0,ROUNDUP(J404-E404,0))</x:f>
        <x:v>0</x:v>
      </x:c>
      <x:c r="L404" s="297" t="n">
        <x:f>IF(F404=0,"",E404/F404)</x:f>
        <x:v>9.200035047752563</x:v>
      </x:c>
      <x:c r="M404" s="291" t="str">
        <x:f>IF(F404=0,IF(E404&gt;0,"No recent demand","No demand / no stock"),IF(E404&lt;=I404,"Order now",IF(L404&lt;='Assumptions'!$B$8,"Review soon","Sufficient stock")))</x:f>
        <x:v>Sufficient stock</x:v>
      </x:c>
      <x:c r="N404" s="299" t="n">
        <x:f>K404*H404</x:f>
        <x:v>0</x:v>
      </x:c>
    </x:row>
    <x:row r="405" ht="16.5" customHeight="1">
      <x:c r="A405" s="278" t="str">
        <x:v>SKU1736</x:v>
      </x:c>
      <x:c r="B405" s="279" t="str">
        <x:v>Product 1736</x:v>
      </x:c>
      <x:c r="C405" s="279" t="str">
        <x:v>Store C</x:v>
      </x:c>
      <x:c r="D405" s="279" t="str">
        <x:v>Supplier 09</x:v>
      </x:c>
      <x:c r="E405" s="280" t="n">
        <x:v>21</x:v>
      </x:c>
      <x:c r="F405" s="280" t="n">
        <x:v>2.2826</x:v>
      </x:c>
      <x:c r="G405" s="281" t="n">
        <x:v>44.5212</x:v>
      </x:c>
      <x:c r="H405" s="281" t="n">
        <x:v>0.415</x:v>
      </x:c>
      <x:c r="I405" s="281" t="n">
        <x:f>F405*'Assumptions'!$B$7*(1+'Assumptions'!$B$9)</x:f>
        <x:v>5.4782399999999996</x:v>
      </x:c>
      <x:c r="J405" s="281" t="n">
        <x:f>F405*('Assumptions'!$B$7+'Assumptions'!$B$8)*(1+'Assumptions'!$B$9)</x:f>
        <x:v>16.43472</x:v>
      </x:c>
      <x:c r="K405" s="296" t="n">
        <x:f>MAX(0,ROUNDUP(J405-E405,0))</x:f>
        <x:v>0</x:v>
      </x:c>
      <x:c r="L405" s="298" t="n">
        <x:f>IF(F405=0,"",E405/F405)</x:f>
        <x:v>9.200035047752563</x:v>
      </x:c>
      <x:c r="M405" s="279" t="str">
        <x:f>IF(F405=0,IF(E405&gt;0,"No recent demand","No demand / no stock"),IF(E405&lt;=I405,"Order now",IF(L405&lt;='Assumptions'!$B$8,"Review soon","Sufficient stock")))</x:f>
        <x:v>Sufficient stock</x:v>
      </x:c>
      <x:c r="N405" s="300" t="n">
        <x:f>K405*H405</x:f>
        <x:v>0</x:v>
      </x:c>
    </x:row>
    <x:row r="406" ht="16.5" customHeight="1">
      <x:c r="A406" s="290" t="str">
        <x:v>SKU0153</x:v>
      </x:c>
      <x:c r="B406" s="291" t="str">
        <x:v>Product 0153</x:v>
      </x:c>
      <x:c r="C406" s="291" t="str">
        <x:v>Store C</x:v>
      </x:c>
      <x:c r="D406" s="291" t="str">
        <x:v>Multiple suppliers</x:v>
      </x:c>
      <x:c r="E406" s="292" t="n">
        <x:v>14</x:v>
      </x:c>
      <x:c r="F406" s="292" t="n">
        <x:v>2.2065</x:v>
      </x:c>
      <x:c r="G406" s="293" t="n">
        <x:v>10.6655</x:v>
      </x:c>
      <x:c r="H406" s="293" t="n">
        <x:v>0.1826</x:v>
      </x:c>
      <x:c r="I406" s="293" t="n">
        <x:f>F406*'Assumptions'!$B$7*(1+'Assumptions'!$B$9)</x:f>
        <x:v>5.2956</x:v>
      </x:c>
      <x:c r="J406" s="293" t="n">
        <x:f>F406*('Assumptions'!$B$7+'Assumptions'!$B$8)*(1+'Assumptions'!$B$9)</x:f>
        <x:v>15.886800000000001</x:v>
      </x:c>
      <x:c r="K406" s="295" t="n">
        <x:f>MAX(0,ROUNDUP(J406-E406,0))</x:f>
        <x:v>2</x:v>
      </x:c>
      <x:c r="L406" s="297" t="n">
        <x:f>IF(F406=0,"",E406/F406)</x:f>
        <x:v>6.344890097439383</x:v>
      </x:c>
      <x:c r="M406" s="291" t="str">
        <x:f>IF(F406=0,IF(E406&gt;0,"No recent demand","No demand / no stock"),IF(E406&lt;=I406,"Order now",IF(L406&lt;='Assumptions'!$B$8,"Review soon","Sufficient stock")))</x:f>
        <x:v>Sufficient stock</x:v>
      </x:c>
      <x:c r="N406" s="299" t="n">
        <x:f>K406*H406</x:f>
        <x:v>0.3652</x:v>
      </x:c>
    </x:row>
    <x:row r="407" ht="16.5" customHeight="1">
      <x:c r="A407" s="278" t="str">
        <x:v>SKU0698</x:v>
      </x:c>
      <x:c r="B407" s="279" t="str">
        <x:v>Product 0698</x:v>
      </x:c>
      <x:c r="C407" s="279" t="str">
        <x:v>Store C</x:v>
      </x:c>
      <x:c r="D407" s="279" t="str">
        <x:v>Supplier 05</x:v>
      </x:c>
      <x:c r="E407" s="280" t="n">
        <x:v>3</x:v>
      </x:c>
      <x:c r="F407" s="280" t="n">
        <x:v>2.2065</x:v>
      </x:c>
      <x:c r="G407" s="281" t="n">
        <x:v>55.1701</x:v>
      </x:c>
      <x:c r="H407" s="281" t="n">
        <x:v>0.6033</x:v>
      </x:c>
      <x:c r="I407" s="281" t="n">
        <x:f>F407*'Assumptions'!$B$7*(1+'Assumptions'!$B$9)</x:f>
        <x:v>5.2956</x:v>
      </x:c>
      <x:c r="J407" s="281" t="n">
        <x:f>F407*('Assumptions'!$B$7+'Assumptions'!$B$8)*(1+'Assumptions'!$B$9)</x:f>
        <x:v>15.886800000000001</x:v>
      </x:c>
      <x:c r="K407" s="296" t="n">
        <x:f>MAX(0,ROUNDUP(J407-E407,0))</x:f>
        <x:v>13</x:v>
      </x:c>
      <x:c r="L407" s="298" t="n">
        <x:f>IF(F407=0,"",E407/F407)</x:f>
        <x:v>1.3596193065941535</x:v>
      </x:c>
      <x:c r="M407" s="279" t="str">
        <x:f>IF(F407=0,IF(E407&gt;0,"No recent demand","No demand / no stock"),IF(E407&lt;=I407,"Order now",IF(L407&lt;='Assumptions'!$B$8,"Review soon","Sufficient stock")))</x:f>
        <x:v>Order now</x:v>
      </x:c>
      <x:c r="N407" s="300" t="n">
        <x:f>K407*H407</x:f>
        <x:v>7.842899999999999</x:v>
      </x:c>
    </x:row>
    <x:row r="408" ht="16.5" customHeight="1">
      <x:c r="A408" s="290" t="str">
        <x:v>SKU0708</x:v>
      </x:c>
      <x:c r="B408" s="291" t="str">
        <x:v>Product 0708</x:v>
      </x:c>
      <x:c r="C408" s="291" t="str">
        <x:v>Store A</x:v>
      </x:c>
      <x:c r="D408" s="291" t="str">
        <x:v>Supplier 02</x:v>
      </x:c>
      <x:c r="E408" s="292" t="n">
        <x:v>0</x:v>
      </x:c>
      <x:c r="F408" s="292" t="n">
        <x:v>2.2065</x:v>
      </x:c>
      <x:c r="G408" s="293" t="n">
        <x:v>28.4856</x:v>
      </x:c>
      <x:c r="H408" s="293" t="n">
        <x:v>0</x:v>
      </x:c>
      <x:c r="I408" s="293" t="n">
        <x:f>F408*'Assumptions'!$B$7*(1+'Assumptions'!$B$9)</x:f>
        <x:v>5.2956</x:v>
      </x:c>
      <x:c r="J408" s="293" t="n">
        <x:f>F408*('Assumptions'!$B$7+'Assumptions'!$B$8)*(1+'Assumptions'!$B$9)</x:f>
        <x:v>15.886800000000001</x:v>
      </x:c>
      <x:c r="K408" s="295" t="n">
        <x:f>MAX(0,ROUNDUP(J408-E408,0))</x:f>
        <x:v>16</x:v>
      </x:c>
      <x:c r="L408" s="297" t="n">
        <x:f>IF(F408=0,"",E408/F408)</x:f>
        <x:v>0</x:v>
      </x:c>
      <x:c r="M408" s="291" t="str">
        <x:f>IF(F408=0,IF(E408&gt;0,"No recent demand","No demand / no stock"),IF(E408&lt;=I408,"Order now",IF(L408&lt;='Assumptions'!$B$8,"Review soon","Sufficient stock")))</x:f>
        <x:v>Order now</x:v>
      </x:c>
      <x:c r="N408" s="299" t="n">
        <x:f>K408*H408</x:f>
        <x:v>0</x:v>
      </x:c>
    </x:row>
    <x:row r="409" ht="16.5" customHeight="1">
      <x:c r="A409" s="278" t="str">
        <x:v>SKU0983</x:v>
      </x:c>
      <x:c r="B409" s="279" t="str">
        <x:v>Product 0983</x:v>
      </x:c>
      <x:c r="C409" s="279" t="str">
        <x:v>Store B</x:v>
      </x:c>
      <x:c r="D409" s="279" t="str">
        <x:v>Supplier 46</x:v>
      </x:c>
      <x:c r="E409" s="280" t="n">
        <x:v>6</x:v>
      </x:c>
      <x:c r="F409" s="280" t="n">
        <x:v>2.2065</x:v>
      </x:c>
      <x:c r="G409" s="281" t="n">
        <x:v>37.848</x:v>
      </x:c>
      <x:c r="H409" s="281" t="n">
        <x:v>0.5063</x:v>
      </x:c>
      <x:c r="I409" s="281" t="n">
        <x:f>F409*'Assumptions'!$B$7*(1+'Assumptions'!$B$9)</x:f>
        <x:v>5.2956</x:v>
      </x:c>
      <x:c r="J409" s="281" t="n">
        <x:f>F409*('Assumptions'!$B$7+'Assumptions'!$B$8)*(1+'Assumptions'!$B$9)</x:f>
        <x:v>15.886800000000001</x:v>
      </x:c>
      <x:c r="K409" s="296" t="n">
        <x:f>MAX(0,ROUNDUP(J409-E409,0))</x:f>
        <x:v>10</x:v>
      </x:c>
      <x:c r="L409" s="298" t="n">
        <x:f>IF(F409=0,"",E409/F409)</x:f>
        <x:v>2.719238613188307</x:v>
      </x:c>
      <x:c r="M409" s="279" t="str">
        <x:f>IF(F409=0,IF(E409&gt;0,"No recent demand","No demand / no stock"),IF(E409&lt;=I409,"Order now",IF(L409&lt;='Assumptions'!$B$8,"Review soon","Sufficient stock")))</x:f>
        <x:v>Review soon</x:v>
      </x:c>
      <x:c r="N409" s="300" t="n">
        <x:f>K409*H409</x:f>
        <x:v>5.063</x:v>
      </x:c>
    </x:row>
    <x:row r="410" ht="16.5" customHeight="1">
      <x:c r="A410" s="290" t="str">
        <x:v>SKU1049</x:v>
      </x:c>
      <x:c r="B410" s="291" t="str">
        <x:v>Product 1049</x:v>
      </x:c>
      <x:c r="C410" s="291" t="str">
        <x:v>Store C</x:v>
      </x:c>
      <x:c r="D410" s="291" t="str">
        <x:v>Supplier 05</x:v>
      </x:c>
      <x:c r="E410" s="292" t="n">
        <x:v>0</x:v>
      </x:c>
      <x:c r="F410" s="292" t="n">
        <x:v>2.2065</x:v>
      </x:c>
      <x:c r="G410" s="293" t="n">
        <x:v>36.105</x:v>
      </x:c>
      <x:c r="H410" s="293" t="n">
        <x:v>0.3584</x:v>
      </x:c>
      <x:c r="I410" s="293" t="n">
        <x:f>F410*'Assumptions'!$B$7*(1+'Assumptions'!$B$9)</x:f>
        <x:v>5.2956</x:v>
      </x:c>
      <x:c r="J410" s="293" t="n">
        <x:f>F410*('Assumptions'!$B$7+'Assumptions'!$B$8)*(1+'Assumptions'!$B$9)</x:f>
        <x:v>15.886800000000001</x:v>
      </x:c>
      <x:c r="K410" s="295" t="n">
        <x:f>MAX(0,ROUNDUP(J410-E410,0))</x:f>
        <x:v>16</x:v>
      </x:c>
      <x:c r="L410" s="297" t="n">
        <x:f>IF(F410=0,"",E410/F410)</x:f>
        <x:v>0</x:v>
      </x:c>
      <x:c r="M410" s="291" t="str">
        <x:f>IF(F410=0,IF(E410&gt;0,"No recent demand","No demand / no stock"),IF(E410&lt;=I410,"Order now",IF(L410&lt;='Assumptions'!$B$8,"Review soon","Sufficient stock")))</x:f>
        <x:v>Order now</x:v>
      </x:c>
      <x:c r="N410" s="299" t="n">
        <x:f>K410*H410</x:f>
        <x:v>5.7344</x:v>
      </x:c>
    </x:row>
    <x:row r="411" ht="16.5" customHeight="1">
      <x:c r="A411" s="278" t="str">
        <x:v>SKU1425</x:v>
      </x:c>
      <x:c r="B411" s="279" t="str">
        <x:v>Product 1425</x:v>
      </x:c>
      <x:c r="C411" s="279" t="str">
        <x:v>Store C</x:v>
      </x:c>
      <x:c r="D411" s="279" t="str">
        <x:v>Supplier 24</x:v>
      </x:c>
      <x:c r="E411" s="280" t="n">
        <x:v>0</x:v>
      </x:c>
      <x:c r="F411" s="280" t="n">
        <x:v>2.2065</x:v>
      </x:c>
      <x:c r="G411" s="281" t="n">
        <x:v>48.14</x:v>
      </x:c>
      <x:c r="H411" s="281" t="n">
        <x:v>0.7387</x:v>
      </x:c>
      <x:c r="I411" s="281" t="n">
        <x:f>F411*'Assumptions'!$B$7*(1+'Assumptions'!$B$9)</x:f>
        <x:v>5.2956</x:v>
      </x:c>
      <x:c r="J411" s="281" t="n">
        <x:f>F411*('Assumptions'!$B$7+'Assumptions'!$B$8)*(1+'Assumptions'!$B$9)</x:f>
        <x:v>15.886800000000001</x:v>
      </x:c>
      <x:c r="K411" s="296" t="n">
        <x:f>MAX(0,ROUNDUP(J411-E411,0))</x:f>
        <x:v>16</x:v>
      </x:c>
      <x:c r="L411" s="298" t="n">
        <x:f>IF(F411=0,"",E411/F411)</x:f>
        <x:v>0</x:v>
      </x:c>
      <x:c r="M411" s="279" t="str">
        <x:f>IF(F411=0,IF(E411&gt;0,"No recent demand","No demand / no stock"),IF(E411&lt;=I411,"Order now",IF(L411&lt;='Assumptions'!$B$8,"Review soon","Sufficient stock")))</x:f>
        <x:v>Order now</x:v>
      </x:c>
      <x:c r="N411" s="300" t="n">
        <x:f>K411*H411</x:f>
        <x:v>11.8192</x:v>
      </x:c>
    </x:row>
    <x:row r="412" ht="16.5" customHeight="1">
      <x:c r="A412" s="290" t="str">
        <x:v>SKU1444</x:v>
      </x:c>
      <x:c r="B412" s="291" t="str">
        <x:v>Product 1444</x:v>
      </x:c>
      <x:c r="C412" s="291" t="str">
        <x:v>Store C</x:v>
      </x:c>
      <x:c r="D412" s="291" t="str">
        <x:v>Supplier 24</x:v>
      </x:c>
      <x:c r="E412" s="292" t="n">
        <x:v>12</x:v>
      </x:c>
      <x:c r="F412" s="292" t="n">
        <x:v>2.2065</x:v>
      </x:c>
      <x:c r="G412" s="293" t="n">
        <x:v>26.2944</x:v>
      </x:c>
      <x:c r="H412" s="293" t="n">
        <x:v>0.4482</x:v>
      </x:c>
      <x:c r="I412" s="293" t="n">
        <x:f>F412*'Assumptions'!$B$7*(1+'Assumptions'!$B$9)</x:f>
        <x:v>5.2956</x:v>
      </x:c>
      <x:c r="J412" s="293" t="n">
        <x:f>F412*('Assumptions'!$B$7+'Assumptions'!$B$8)*(1+'Assumptions'!$B$9)</x:f>
        <x:v>15.886800000000001</x:v>
      </x:c>
      <x:c r="K412" s="295" t="n">
        <x:f>MAX(0,ROUNDUP(J412-E412,0))</x:f>
        <x:v>4</x:v>
      </x:c>
      <x:c r="L412" s="297" t="n">
        <x:f>IF(F412=0,"",E412/F412)</x:f>
        <x:v>5.438477226376614</x:v>
      </x:c>
      <x:c r="M412" s="291" t="str">
        <x:f>IF(F412=0,IF(E412&gt;0,"No recent demand","No demand / no stock"),IF(E412&lt;=I412,"Order now",IF(L412&lt;='Assumptions'!$B$8,"Review soon","Sufficient stock")))</x:f>
        <x:v>Sufficient stock</x:v>
      </x:c>
      <x:c r="N412" s="299" t="n">
        <x:f>K412*H412</x:f>
        <x:v>1.7928</x:v>
      </x:c>
    </x:row>
    <x:row r="413" ht="16.5" customHeight="1">
      <x:c r="A413" s="278" t="str">
        <x:v>SKU1512</x:v>
      </x:c>
      <x:c r="B413" s="279" t="str">
        <x:v>Product 1512</x:v>
      </x:c>
      <x:c r="C413" s="279" t="str">
        <x:v>Store C</x:v>
      </x:c>
      <x:c r="D413" s="279" t="str">
        <x:v>Supplier 24</x:v>
      </x:c>
      <x:c r="E413" s="280" t="n">
        <x:v>16</x:v>
      </x:c>
      <x:c r="F413" s="280" t="n">
        <x:v>2.2065</x:v>
      </x:c>
      <x:c r="G413" s="281" t="n">
        <x:v>23.489</x:v>
      </x:c>
      <x:c r="H413" s="281" t="n">
        <x:v>0.3818</x:v>
      </x:c>
      <x:c r="I413" s="281" t="n">
        <x:f>F413*'Assumptions'!$B$7*(1+'Assumptions'!$B$9)</x:f>
        <x:v>5.2956</x:v>
      </x:c>
      <x:c r="J413" s="281" t="n">
        <x:f>F413*('Assumptions'!$B$7+'Assumptions'!$B$8)*(1+'Assumptions'!$B$9)</x:f>
        <x:v>15.886800000000001</x:v>
      </x:c>
      <x:c r="K413" s="296" t="n">
        <x:f>MAX(0,ROUNDUP(J413-E413,0))</x:f>
        <x:v>0</x:v>
      </x:c>
      <x:c r="L413" s="298" t="n">
        <x:f>IF(F413=0,"",E413/F413)</x:f>
        <x:v>7.251302968502152</x:v>
      </x:c>
      <x:c r="M413" s="279" t="str">
        <x:f>IF(F413=0,IF(E413&gt;0,"No recent demand","No demand / no stock"),IF(E413&lt;=I413,"Order now",IF(L413&lt;='Assumptions'!$B$8,"Review soon","Sufficient stock")))</x:f>
        <x:v>Sufficient stock</x:v>
      </x:c>
      <x:c r="N413" s="300" t="n">
        <x:f>K413*H413</x:f>
        <x:v>0</x:v>
      </x:c>
    </x:row>
    <x:row r="414" ht="16.5" customHeight="1">
      <x:c r="A414" s="290" t="str">
        <x:v>SKU1598</x:v>
      </x:c>
      <x:c r="B414" s="291" t="str">
        <x:v>Product 1598</x:v>
      </x:c>
      <x:c r="C414" s="291" t="str">
        <x:v>Store C</x:v>
      </x:c>
      <x:c r="D414" s="291" t="str">
        <x:v>Supplier 07</x:v>
      </x:c>
      <x:c r="E414" s="292" t="n">
        <x:v>7</x:v>
      </x:c>
      <x:c r="F414" s="292" t="n">
        <x:v>2.2065</x:v>
      </x:c>
      <x:c r="G414" s="293" t="n">
        <x:v>77.024</x:v>
      </x:c>
      <x:c r="H414" s="293" t="n">
        <x:v>1.3698</x:v>
      </x:c>
      <x:c r="I414" s="293" t="n">
        <x:f>F414*'Assumptions'!$B$7*(1+'Assumptions'!$B$9)</x:f>
        <x:v>5.2956</x:v>
      </x:c>
      <x:c r="J414" s="293" t="n">
        <x:f>F414*('Assumptions'!$B$7+'Assumptions'!$B$8)*(1+'Assumptions'!$B$9)</x:f>
        <x:v>15.886800000000001</x:v>
      </x:c>
      <x:c r="K414" s="295" t="n">
        <x:f>MAX(0,ROUNDUP(J414-E414,0))</x:f>
        <x:v>9</x:v>
      </x:c>
      <x:c r="L414" s="297" t="n">
        <x:f>IF(F414=0,"",E414/F414)</x:f>
        <x:v>3.1724450487196916</x:v>
      </x:c>
      <x:c r="M414" s="291" t="str">
        <x:f>IF(F414=0,IF(E414&gt;0,"No recent demand","No demand / no stock"),IF(E414&lt;=I414,"Order now",IF(L414&lt;='Assumptions'!$B$8,"Review soon","Sufficient stock")))</x:f>
        <x:v>Review soon</x:v>
      </x:c>
      <x:c r="N414" s="299" t="n">
        <x:f>K414*H414</x:f>
        <x:v>12.328199999999999</x:v>
      </x:c>
    </x:row>
    <x:row r="415" ht="16.5" customHeight="1">
      <x:c r="A415" s="278" t="str">
        <x:v>SKU1607</x:v>
      </x:c>
      <x:c r="B415" s="279" t="str">
        <x:v>Product 1607</x:v>
      </x:c>
      <x:c r="C415" s="279" t="str">
        <x:v>Store A</x:v>
      </x:c>
      <x:c r="D415" s="279" t="str">
        <x:v>Supplier 07</x:v>
      </x:c>
      <x:c r="E415" s="280" t="n">
        <x:v>0</x:v>
      </x:c>
      <x:c r="F415" s="280" t="n">
        <x:v>2.2065</x:v>
      </x:c>
      <x:c r="G415" s="281" t="n">
        <x:v>28.884</x:v>
      </x:c>
      <x:c r="H415" s="281" t="n">
        <x:v>0</x:v>
      </x:c>
      <x:c r="I415" s="281" t="n">
        <x:f>F415*'Assumptions'!$B$7*(1+'Assumptions'!$B$9)</x:f>
        <x:v>5.2956</x:v>
      </x:c>
      <x:c r="J415" s="281" t="n">
        <x:f>F415*('Assumptions'!$B$7+'Assumptions'!$B$8)*(1+'Assumptions'!$B$9)</x:f>
        <x:v>15.886800000000001</x:v>
      </x:c>
      <x:c r="K415" s="296" t="n">
        <x:f>MAX(0,ROUNDUP(J415-E415,0))</x:f>
        <x:v>16</x:v>
      </x:c>
      <x:c r="L415" s="298" t="n">
        <x:f>IF(F415=0,"",E415/F415)</x:f>
        <x:v>0</x:v>
      </x:c>
      <x:c r="M415" s="279" t="str">
        <x:f>IF(F415=0,IF(E415&gt;0,"No recent demand","No demand / no stock"),IF(E415&lt;=I415,"Order now",IF(L415&lt;='Assumptions'!$B$8,"Review soon","Sufficient stock")))</x:f>
        <x:v>Order now</x:v>
      </x:c>
      <x:c r="N415" s="300" t="n">
        <x:f>K415*H415</x:f>
        <x:v>0</x:v>
      </x:c>
    </x:row>
    <x:row r="416" ht="16.5" customHeight="1">
      <x:c r="A416" s="290" t="str">
        <x:v>SKU1730</x:v>
      </x:c>
      <x:c r="B416" s="291" t="str">
        <x:v>Product 1730</x:v>
      </x:c>
      <x:c r="C416" s="291" t="str">
        <x:v>Store A</x:v>
      </x:c>
      <x:c r="D416" s="291" t="str">
        <x:v>Supplier 09</x:v>
      </x:c>
      <x:c r="E416" s="292" t="n">
        <x:v>5</x:v>
      </x:c>
      <x:c r="F416" s="292" t="n">
        <x:v>2.2065</x:v>
      </x:c>
      <x:c r="G416" s="293" t="n">
        <x:v>80.344</x:v>
      </x:c>
      <x:c r="H416" s="293" t="n">
        <x:v>1.0708</x:v>
      </x:c>
      <x:c r="I416" s="293" t="n">
        <x:f>F416*'Assumptions'!$B$7*(1+'Assumptions'!$B$9)</x:f>
        <x:v>5.2956</x:v>
      </x:c>
      <x:c r="J416" s="293" t="n">
        <x:f>F416*('Assumptions'!$B$7+'Assumptions'!$B$8)*(1+'Assumptions'!$B$9)</x:f>
        <x:v>15.886800000000001</x:v>
      </x:c>
      <x:c r="K416" s="295" t="n">
        <x:f>MAX(0,ROUNDUP(J416-E416,0))</x:f>
        <x:v>11</x:v>
      </x:c>
      <x:c r="L416" s="297" t="n">
        <x:f>IF(F416=0,"",E416/F416)</x:f>
        <x:v>2.2660321776569226</x:v>
      </x:c>
      <x:c r="M416" s="291" t="str">
        <x:f>IF(F416=0,IF(E416&gt;0,"No recent demand","No demand / no stock"),IF(E416&lt;=I416,"Order now",IF(L416&lt;='Assumptions'!$B$8,"Review soon","Sufficient stock")))</x:f>
        <x:v>Order now</x:v>
      </x:c>
      <x:c r="N416" s="299" t="n">
        <x:f>K416*H416</x:f>
        <x:v>11.7788</x:v>
      </x:c>
    </x:row>
    <x:row r="417" ht="16.5" customHeight="1">
      <x:c r="A417" s="278" t="str">
        <x:v>SKU1761</x:v>
      </x:c>
      <x:c r="B417" s="279" t="str">
        <x:v>Product 1761</x:v>
      </x:c>
      <x:c r="C417" s="279" t="str">
        <x:v>Store A</x:v>
      </x:c>
      <x:c r="D417" s="279" t="str">
        <x:v>Supplier 46</x:v>
      </x:c>
      <x:c r="E417" s="280" t="n">
        <x:v>7</x:v>
      </x:c>
      <x:c r="F417" s="280" t="n">
        <x:v>2.2065</x:v>
      </x:c>
      <x:c r="G417" s="281" t="n">
        <x:v>36.3872</x:v>
      </x:c>
      <x:c r="H417" s="281" t="n">
        <x:v>0.5063</x:v>
      </x:c>
      <x:c r="I417" s="281" t="n">
        <x:f>F417*'Assumptions'!$B$7*(1+'Assumptions'!$B$9)</x:f>
        <x:v>5.2956</x:v>
      </x:c>
      <x:c r="J417" s="281" t="n">
        <x:f>F417*('Assumptions'!$B$7+'Assumptions'!$B$8)*(1+'Assumptions'!$B$9)</x:f>
        <x:v>15.886800000000001</x:v>
      </x:c>
      <x:c r="K417" s="296" t="n">
        <x:f>MAX(0,ROUNDUP(J417-E417,0))</x:f>
        <x:v>9</x:v>
      </x:c>
      <x:c r="L417" s="298" t="n">
        <x:f>IF(F417=0,"",E417/F417)</x:f>
        <x:v>3.1724450487196916</x:v>
      </x:c>
      <x:c r="M417" s="279" t="str">
        <x:f>IF(F417=0,IF(E417&gt;0,"No recent demand","No demand / no stock"),IF(E417&lt;=I417,"Order now",IF(L417&lt;='Assumptions'!$B$8,"Review soon","Sufficient stock")))</x:f>
        <x:v>Review soon</x:v>
      </x:c>
      <x:c r="N417" s="300" t="n">
        <x:f>K417*H417</x:f>
        <x:v>4.556699999999999</x:v>
      </x:c>
    </x:row>
    <x:row r="418" ht="16.5" customHeight="1">
      <x:c r="A418" s="290" t="str">
        <x:v>SKU1766</x:v>
      </x:c>
      <x:c r="B418" s="291" t="str">
        <x:v>Product 1766</x:v>
      </x:c>
      <x:c r="C418" s="291" t="str">
        <x:v>Store B</x:v>
      </x:c>
      <x:c r="D418" s="291" t="str">
        <x:v>Multiple suppliers</x:v>
      </x:c>
      <x:c r="E418" s="292" t="n">
        <x:v>0</x:v>
      </x:c>
      <x:c r="F418" s="292" t="n">
        <x:v>2.2065</x:v>
      </x:c>
      <x:c r="G418" s="293" t="n">
        <x:v>58.266</x:v>
      </x:c>
      <x:c r="H418" s="293" t="n">
        <x:v>0.7944</x:v>
      </x:c>
      <x:c r="I418" s="293" t="n">
        <x:f>F418*'Assumptions'!$B$7*(1+'Assumptions'!$B$9)</x:f>
        <x:v>5.2956</x:v>
      </x:c>
      <x:c r="J418" s="293" t="n">
        <x:f>F418*('Assumptions'!$B$7+'Assumptions'!$B$8)*(1+'Assumptions'!$B$9)</x:f>
        <x:v>15.886800000000001</x:v>
      </x:c>
      <x:c r="K418" s="295" t="n">
        <x:f>MAX(0,ROUNDUP(J418-E418,0))</x:f>
        <x:v>16</x:v>
      </x:c>
      <x:c r="L418" s="297" t="n">
        <x:f>IF(F418=0,"",E418/F418)</x:f>
        <x:v>0</x:v>
      </x:c>
      <x:c r="M418" s="291" t="str">
        <x:f>IF(F418=0,IF(E418&gt;0,"No recent demand","No demand / no stock"),IF(E418&lt;=I418,"Order now",IF(L418&lt;='Assumptions'!$B$8,"Review soon","Sufficient stock")))</x:f>
        <x:v>Order now</x:v>
      </x:c>
      <x:c r="N418" s="299" t="n">
        <x:f>K418*H418</x:f>
        <x:v>12.7104</x:v>
      </x:c>
    </x:row>
    <x:row r="419" ht="16.5" customHeight="1">
      <x:c r="A419" s="278" t="str">
        <x:v>SKU0094</x:v>
      </x:c>
      <x:c r="B419" s="279" t="str">
        <x:v>Product 0094</x:v>
      </x:c>
      <x:c r="C419" s="279" t="str">
        <x:v>Store A</x:v>
      </x:c>
      <x:c r="D419" s="279" t="str">
        <x:v>Supplier 68</x:v>
      </x:c>
      <x:c r="E419" s="280" t="n">
        <x:v>2</x:v>
      </x:c>
      <x:c r="F419" s="280" t="n">
        <x:v>2.1304</x:v>
      </x:c>
      <x:c r="G419" s="281" t="n">
        <x:v>24.8336</x:v>
      </x:c>
      <x:c r="H419" s="281" t="n">
        <x:v>0.3735</x:v>
      </x:c>
      <x:c r="I419" s="281" t="n">
        <x:f>F419*'Assumptions'!$B$7*(1+'Assumptions'!$B$9)</x:f>
        <x:v>5.112959999999999</x:v>
      </x:c>
      <x:c r="J419" s="281" t="n">
        <x:f>F419*('Assumptions'!$B$7+'Assumptions'!$B$8)*(1+'Assumptions'!$B$9)</x:f>
        <x:v>15.338879999999998</x:v>
      </x:c>
      <x:c r="K419" s="296" t="n">
        <x:f>MAX(0,ROUNDUP(J419-E419,0))</x:f>
        <x:v>14</x:v>
      </x:c>
      <x:c r="L419" s="298" t="n">
        <x:f>IF(F419=0,"",E419/F419)</x:f>
        <x:v>0.938790837401427</x:v>
      </x:c>
      <x:c r="M419" s="279" t="str">
        <x:f>IF(F419=0,IF(E419&gt;0,"No recent demand","No demand / no stock"),IF(E419&lt;=I419,"Order now",IF(L419&lt;='Assumptions'!$B$8,"Review soon","Sufficient stock")))</x:f>
        <x:v>Order now</x:v>
      </x:c>
      <x:c r="N419" s="300" t="n">
        <x:f>K419*H419</x:f>
        <x:v>5.229</x:v>
      </x:c>
    </x:row>
    <x:row r="420" ht="16.5" customHeight="1">
      <x:c r="A420" s="290" t="str">
        <x:v>SKU0119</x:v>
      </x:c>
      <x:c r="B420" s="291" t="str">
        <x:v>Product 0119</x:v>
      </x:c>
      <x:c r="C420" s="291" t="str">
        <x:v>Store B</x:v>
      </x:c>
      <x:c r="D420" s="291" t="str">
        <x:v>Supplier 05</x:v>
      </x:c>
      <x:c r="E420" s="292" t="n">
        <x:v>14</x:v>
      </x:c>
      <x:c r="F420" s="292" t="n">
        <x:v>2.1304</x:v>
      </x:c>
      <x:c r="G420" s="293" t="n">
        <x:v>41.3838</x:v>
      </x:c>
      <x:c r="H420" s="293" t="n">
        <x:v>0.4897</x:v>
      </x:c>
      <x:c r="I420" s="293" t="n">
        <x:f>F420*'Assumptions'!$B$7*(1+'Assumptions'!$B$9)</x:f>
        <x:v>5.112959999999999</x:v>
      </x:c>
      <x:c r="J420" s="293" t="n">
        <x:f>F420*('Assumptions'!$B$7+'Assumptions'!$B$8)*(1+'Assumptions'!$B$9)</x:f>
        <x:v>15.338879999999998</x:v>
      </x:c>
      <x:c r="K420" s="295" t="n">
        <x:f>MAX(0,ROUNDUP(J420-E420,0))</x:f>
        <x:v>2</x:v>
      </x:c>
      <x:c r="L420" s="297" t="n">
        <x:f>IF(F420=0,"",E420/F420)</x:f>
        <x:v>6.5715358618099895</x:v>
      </x:c>
      <x:c r="M420" s="291" t="str">
        <x:f>IF(F420=0,IF(E420&gt;0,"No recent demand","No demand / no stock"),IF(E420&lt;=I420,"Order now",IF(L420&lt;='Assumptions'!$B$8,"Review soon","Sufficient stock")))</x:f>
        <x:v>Sufficient stock</x:v>
      </x:c>
      <x:c r="N420" s="299" t="n">
        <x:f>K420*H420</x:f>
        <x:v>0.9794</x:v>
      </x:c>
    </x:row>
    <x:row r="421" ht="16.5" customHeight="1">
      <x:c r="A421" s="278" t="str">
        <x:v>SKU0209</x:v>
      </x:c>
      <x:c r="B421" s="279" t="str">
        <x:v>Product 0209</x:v>
      </x:c>
      <x:c r="C421" s="279" t="str">
        <x:v>Store B</x:v>
      </x:c>
      <x:c r="D421" s="279" t="str">
        <x:v>Supplier 59</x:v>
      </x:c>
      <x:c r="E421" s="280" t="n">
        <x:v>0</x:v>
      </x:c>
      <x:c r="F421" s="280" t="n">
        <x:v>2.1304</x:v>
      </x:c>
      <x:c r="G421" s="281" t="n">
        <x:v>15.687</x:v>
      </x:c>
      <x:c r="H421" s="281" t="n">
        <x:v>0.5148</x:v>
      </x:c>
      <x:c r="I421" s="281" t="n">
        <x:f>F421*'Assumptions'!$B$7*(1+'Assumptions'!$B$9)</x:f>
        <x:v>5.112959999999999</x:v>
      </x:c>
      <x:c r="J421" s="281" t="n">
        <x:f>F421*('Assumptions'!$B$7+'Assumptions'!$B$8)*(1+'Assumptions'!$B$9)</x:f>
        <x:v>15.338879999999998</x:v>
      </x:c>
      <x:c r="K421" s="296" t="n">
        <x:f>MAX(0,ROUNDUP(J421-E421,0))</x:f>
        <x:v>16</x:v>
      </x:c>
      <x:c r="L421" s="298" t="n">
        <x:f>IF(F421=0,"",E421/F421)</x:f>
        <x:v>0</x:v>
      </x:c>
      <x:c r="M421" s="279" t="str">
        <x:f>IF(F421=0,IF(E421&gt;0,"No recent demand","No demand / no stock"),IF(E421&lt;=I421,"Order now",IF(L421&lt;='Assumptions'!$B$8,"Review soon","Sufficient stock")))</x:f>
        <x:v>Order now</x:v>
      </x:c>
      <x:c r="N421" s="300" t="n">
        <x:f>K421*H421</x:f>
        <x:v>8.2368</x:v>
      </x:c>
    </x:row>
    <x:row r="422" ht="16.5" customHeight="1">
      <x:c r="A422" s="290" t="str">
        <x:v>SKU0633</x:v>
      </x:c>
      <x:c r="B422" s="291" t="str">
        <x:v>Product 0633</x:v>
      </x:c>
      <x:c r="C422" s="291" t="str">
        <x:v>Store B</x:v>
      </x:c>
      <x:c r="D422" s="291" t="str">
        <x:v>Supplier 02</x:v>
      </x:c>
      <x:c r="E422" s="292" t="n">
        <x:v>28</x:v>
      </x:c>
      <x:c r="F422" s="292" t="n">
        <x:v>2.1304</x:v>
      </x:c>
      <x:c r="G422" s="293" t="n">
        <x:v>55.5768</x:v>
      </x:c>
      <x:c r="H422" s="293" t="n">
        <x:v>0.7968</x:v>
      </x:c>
      <x:c r="I422" s="293" t="n">
        <x:f>F422*'Assumptions'!$B$7*(1+'Assumptions'!$B$9)</x:f>
        <x:v>5.112959999999999</x:v>
      </x:c>
      <x:c r="J422" s="293" t="n">
        <x:f>F422*('Assumptions'!$B$7+'Assumptions'!$B$8)*(1+'Assumptions'!$B$9)</x:f>
        <x:v>15.338879999999998</x:v>
      </x:c>
      <x:c r="K422" s="295" t="n">
        <x:f>MAX(0,ROUNDUP(J422-E422,0))</x:f>
        <x:v>0</x:v>
      </x:c>
      <x:c r="L422" s="297" t="n">
        <x:f>IF(F422=0,"",E422/F422)</x:f>
        <x:v>13.143071723619979</x:v>
      </x:c>
      <x:c r="M422" s="291" t="str">
        <x:f>IF(F422=0,IF(E422&gt;0,"No recent demand","No demand / no stock"),IF(E422&lt;=I422,"Order now",IF(L422&lt;='Assumptions'!$B$8,"Review soon","Sufficient stock")))</x:f>
        <x:v>Sufficient stock</x:v>
      </x:c>
      <x:c r="N422" s="299" t="n">
        <x:f>K422*H422</x:f>
        <x:v>0</x:v>
      </x:c>
    </x:row>
    <x:row r="423" ht="16.5" customHeight="1">
      <x:c r="A423" s="278" t="str">
        <x:v>SKU0710</x:v>
      </x:c>
      <x:c r="B423" s="279" t="str">
        <x:v>Product 0710</x:v>
      </x:c>
      <x:c r="C423" s="279" t="str">
        <x:v>Store A</x:v>
      </x:c>
      <x:c r="D423" s="279" t="str">
        <x:v>Supplier 02</x:v>
      </x:c>
      <x:c r="E423" s="280" t="n">
        <x:v>19</x:v>
      </x:c>
      <x:c r="F423" s="280" t="n">
        <x:v>2.1304</x:v>
      </x:c>
      <x:c r="G423" s="281" t="n">
        <x:v>25.564</x:v>
      </x:c>
      <x:c r="H423" s="281" t="n">
        <x:v>0.3154</x:v>
      </x:c>
      <x:c r="I423" s="281" t="n">
        <x:f>F423*'Assumptions'!$B$7*(1+'Assumptions'!$B$9)</x:f>
        <x:v>5.112959999999999</x:v>
      </x:c>
      <x:c r="J423" s="281" t="n">
        <x:f>F423*('Assumptions'!$B$7+'Assumptions'!$B$8)*(1+'Assumptions'!$B$9)</x:f>
        <x:v>15.338879999999998</x:v>
      </x:c>
      <x:c r="K423" s="296" t="n">
        <x:f>MAX(0,ROUNDUP(J423-E423,0))</x:f>
        <x:v>0</x:v>
      </x:c>
      <x:c r="L423" s="298" t="n">
        <x:f>IF(F423=0,"",E423/F423)</x:f>
        <x:v>8.918512955313556</x:v>
      </x:c>
      <x:c r="M423" s="279" t="str">
        <x:f>IF(F423=0,IF(E423&gt;0,"No recent demand","No demand / no stock"),IF(E423&lt;=I423,"Order now",IF(L423&lt;='Assumptions'!$B$8,"Review soon","Sufficient stock")))</x:f>
        <x:v>Sufficient stock</x:v>
      </x:c>
      <x:c r="N423" s="300" t="n">
        <x:f>K423*H423</x:f>
        <x:v>0</x:v>
      </x:c>
    </x:row>
    <x:row r="424" ht="16.5" customHeight="1">
      <x:c r="A424" s="290" t="str">
        <x:v>SKU1001</x:v>
      </x:c>
      <x:c r="B424" s="291" t="str">
        <x:v>Product 1001</x:v>
      </x:c>
      <x:c r="C424" s="291" t="str">
        <x:v>Store B</x:v>
      </x:c>
      <x:c r="D424" s="291" t="str">
        <x:v>Supplier 19</x:v>
      </x:c>
      <x:c r="E424" s="292" t="n">
        <x:v>13</x:v>
      </x:c>
      <x:c r="F424" s="292" t="n">
        <x:v>2.1304</x:v>
      </x:c>
      <x:c r="G424" s="293" t="n">
        <x:v>15.9775</x:v>
      </x:c>
      <x:c r="H424" s="293" t="n">
        <x:v>0.2075</x:v>
      </x:c>
      <x:c r="I424" s="293" t="n">
        <x:f>F424*'Assumptions'!$B$7*(1+'Assumptions'!$B$9)</x:f>
        <x:v>5.112959999999999</x:v>
      </x:c>
      <x:c r="J424" s="293" t="n">
        <x:f>F424*('Assumptions'!$B$7+'Assumptions'!$B$8)*(1+'Assumptions'!$B$9)</x:f>
        <x:v>15.338879999999998</x:v>
      </x:c>
      <x:c r="K424" s="295" t="n">
        <x:f>MAX(0,ROUNDUP(J424-E424,0))</x:f>
        <x:v>3</x:v>
      </x:c>
      <x:c r="L424" s="297" t="n">
        <x:f>IF(F424=0,"",E424/F424)</x:f>
        <x:v>6.102140443109276</x:v>
      </x:c>
      <x:c r="M424" s="291" t="str">
        <x:f>IF(F424=0,IF(E424&gt;0,"No recent demand","No demand / no stock"),IF(E424&lt;=I424,"Order now",IF(L424&lt;='Assumptions'!$B$8,"Review soon","Sufficient stock")))</x:f>
        <x:v>Sufficient stock</x:v>
      </x:c>
      <x:c r="N424" s="299" t="n">
        <x:f>K424*H424</x:f>
        <x:v>0.6224999999999999</x:v>
      </x:c>
    </x:row>
    <x:row r="425" ht="16.5" customHeight="1">
      <x:c r="A425" s="278" t="str">
        <x:v>SKU1050</x:v>
      </x:c>
      <x:c r="B425" s="279" t="str">
        <x:v>Product 1050</x:v>
      </x:c>
      <x:c r="C425" s="279" t="str">
        <x:v>Store B</x:v>
      </x:c>
      <x:c r="D425" s="279" t="str">
        <x:v>Supplier 05</x:v>
      </x:c>
      <x:c r="E425" s="280" t="n">
        <x:v>15</x:v>
      </x:c>
      <x:c r="F425" s="280" t="n">
        <x:v>2.1304</x:v>
      </x:c>
      <x:c r="G425" s="281" t="n">
        <x:v>34.611</x:v>
      </x:c>
      <x:c r="H425" s="281" t="n">
        <x:v>0.3076</x:v>
      </x:c>
      <x:c r="I425" s="281" t="n">
        <x:f>F425*'Assumptions'!$B$7*(1+'Assumptions'!$B$9)</x:f>
        <x:v>5.112959999999999</x:v>
      </x:c>
      <x:c r="J425" s="281" t="n">
        <x:f>F425*('Assumptions'!$B$7+'Assumptions'!$B$8)*(1+'Assumptions'!$B$9)</x:f>
        <x:v>15.338879999999998</x:v>
      </x:c>
      <x:c r="K425" s="296" t="n">
        <x:f>MAX(0,ROUNDUP(J425-E425,0))</x:f>
        <x:v>1</x:v>
      </x:c>
      <x:c r="L425" s="298" t="n">
        <x:f>IF(F425=0,"",E425/F425)</x:f>
        <x:v>7.040931280510702</x:v>
      </x:c>
      <x:c r="M425" s="279" t="str">
        <x:f>IF(F425=0,IF(E425&gt;0,"No recent demand","No demand / no stock"),IF(E425&lt;=I425,"Order now",IF(L425&lt;='Assumptions'!$B$8,"Review soon","Sufficient stock")))</x:f>
        <x:v>Sufficient stock</x:v>
      </x:c>
      <x:c r="N425" s="300" t="n">
        <x:f>K425*H425</x:f>
        <x:v>0.3076</x:v>
      </x:c>
    </x:row>
    <x:row r="426" ht="16.5" customHeight="1">
      <x:c r="A426" s="290" t="str">
        <x:v>SKU1068</x:v>
      </x:c>
      <x:c r="B426" s="291" t="str">
        <x:v>Product 1068</x:v>
      </x:c>
      <x:c r="C426" s="291" t="str">
        <x:v>Store C</x:v>
      </x:c>
      <x:c r="D426" s="291" t="str">
        <x:v>Supplier 02</x:v>
      </x:c>
      <x:c r="E426" s="292" t="n">
        <x:v>25</x:v>
      </x:c>
      <x:c r="F426" s="292" t="n">
        <x:v>2.1304</x:v>
      </x:c>
      <x:c r="G426" s="293" t="n">
        <x:v>37.0512</x:v>
      </x:c>
      <x:c r="H426" s="293" t="n">
        <x:v>0.4374</x:v>
      </x:c>
      <x:c r="I426" s="293" t="n">
        <x:f>F426*'Assumptions'!$B$7*(1+'Assumptions'!$B$9)</x:f>
        <x:v>5.112959999999999</x:v>
      </x:c>
      <x:c r="J426" s="293" t="n">
        <x:f>F426*('Assumptions'!$B$7+'Assumptions'!$B$8)*(1+'Assumptions'!$B$9)</x:f>
        <x:v>15.338879999999998</x:v>
      </x:c>
      <x:c r="K426" s="295" t="n">
        <x:f>MAX(0,ROUNDUP(J426-E426,0))</x:f>
        <x:v>0</x:v>
      </x:c>
      <x:c r="L426" s="297" t="n">
        <x:f>IF(F426=0,"",E426/F426)</x:f>
        <x:v>11.734885467517838</x:v>
      </x:c>
      <x:c r="M426" s="291" t="str">
        <x:f>IF(F426=0,IF(E426&gt;0,"No recent demand","No demand / no stock"),IF(E426&lt;=I426,"Order now",IF(L426&lt;='Assumptions'!$B$8,"Review soon","Sufficient stock")))</x:f>
        <x:v>Sufficient stock</x:v>
      </x:c>
      <x:c r="N426" s="299" t="n">
        <x:f>K426*H426</x:f>
        <x:v>0</x:v>
      </x:c>
    </x:row>
    <x:row r="427" ht="16.5" customHeight="1">
      <x:c r="A427" s="278" t="str">
        <x:v>SKU1102</x:v>
      </x:c>
      <x:c r="B427" s="279" t="str">
        <x:v>Product 1102</x:v>
      </x:c>
      <x:c r="C427" s="279" t="str">
        <x:v>Store C</x:v>
      </x:c>
      <x:c r="D427" s="279" t="str">
        <x:v>Supplier 51</x:v>
      </x:c>
      <x:c r="E427" s="280" t="n">
        <x:v>0</x:v>
      </x:c>
      <x:c r="F427" s="280" t="n">
        <x:v>2.1304</x:v>
      </x:c>
      <x:c r="G427" s="281" t="n">
        <x:v>34.86</x:v>
      </x:c>
      <x:c r="H427" s="281" t="n">
        <x:v>1.5394</x:v>
      </x:c>
      <x:c r="I427" s="281" t="n">
        <x:f>F427*'Assumptions'!$B$7*(1+'Assumptions'!$B$9)</x:f>
        <x:v>5.112959999999999</x:v>
      </x:c>
      <x:c r="J427" s="281" t="n">
        <x:f>F427*('Assumptions'!$B$7+'Assumptions'!$B$8)*(1+'Assumptions'!$B$9)</x:f>
        <x:v>15.338879999999998</x:v>
      </x:c>
      <x:c r="K427" s="296" t="n">
        <x:f>MAX(0,ROUNDUP(J427-E427,0))</x:f>
        <x:v>16</x:v>
      </x:c>
      <x:c r="L427" s="298" t="n">
        <x:f>IF(F427=0,"",E427/F427)</x:f>
        <x:v>0</x:v>
      </x:c>
      <x:c r="M427" s="279" t="str">
        <x:f>IF(F427=0,IF(E427&gt;0,"No recent demand","No demand / no stock"),IF(E427&lt;=I427,"Order now",IF(L427&lt;='Assumptions'!$B$8,"Review soon","Sufficient stock")))</x:f>
        <x:v>Order now</x:v>
      </x:c>
      <x:c r="N427" s="300" t="n">
        <x:f>K427*H427</x:f>
        <x:v>24.6304</x:v>
      </x:c>
    </x:row>
    <x:row r="428" ht="16.5" customHeight="1">
      <x:c r="A428" s="290" t="str">
        <x:v>SKU1237</x:v>
      </x:c>
      <x:c r="B428" s="291" t="str">
        <x:v>Product 1237</x:v>
      </x:c>
      <x:c r="C428" s="291" t="str">
        <x:v>Store C</x:v>
      </x:c>
      <x:c r="D428" s="291" t="str">
        <x:v>Supplier 04</x:v>
      </x:c>
      <x:c r="E428" s="292" t="n">
        <x:v>0</x:v>
      </x:c>
      <x:c r="F428" s="292" t="n">
        <x:v>2.1304</x:v>
      </x:c>
      <x:c r="G428" s="293" t="n">
        <x:v>33.9885</x:v>
      </x:c>
      <x:c r="H428" s="293" t="n">
        <x:v>0.4899</x:v>
      </x:c>
      <x:c r="I428" s="293" t="n">
        <x:f>F428*'Assumptions'!$B$7*(1+'Assumptions'!$B$9)</x:f>
        <x:v>5.112959999999999</x:v>
      </x:c>
      <x:c r="J428" s="293" t="n">
        <x:f>F428*('Assumptions'!$B$7+'Assumptions'!$B$8)*(1+'Assumptions'!$B$9)</x:f>
        <x:v>15.338879999999998</x:v>
      </x:c>
      <x:c r="K428" s="295" t="n">
        <x:f>MAX(0,ROUNDUP(J428-E428,0))</x:f>
        <x:v>16</x:v>
      </x:c>
      <x:c r="L428" s="297" t="n">
        <x:f>IF(F428=0,"",E428/F428)</x:f>
        <x:v>0</x:v>
      </x:c>
      <x:c r="M428" s="291" t="str">
        <x:f>IF(F428=0,IF(E428&gt;0,"No recent demand","No demand / no stock"),IF(E428&lt;=I428,"Order now",IF(L428&lt;='Assumptions'!$B$8,"Review soon","Sufficient stock")))</x:f>
        <x:v>Order now</x:v>
      </x:c>
      <x:c r="N428" s="299" t="n">
        <x:f>K428*H428</x:f>
        <x:v>7.8384</x:v>
      </x:c>
    </x:row>
    <x:row r="429" ht="16.5" customHeight="1">
      <x:c r="A429" s="278" t="str">
        <x:v>SKU1321</x:v>
      </x:c>
      <x:c r="B429" s="279" t="str">
        <x:v>Product 1321</x:v>
      </x:c>
      <x:c r="C429" s="279" t="str">
        <x:v>Store B</x:v>
      </x:c>
      <x:c r="D429" s="279" t="str">
        <x:v>Supplier 03</x:v>
      </x:c>
      <x:c r="E429" s="280" t="n">
        <x:v>0</x:v>
      </x:c>
      <x:c r="F429" s="280" t="n">
        <x:v>2.1304</x:v>
      </x:c>
      <x:c r="G429" s="281" t="n">
        <x:v>39.3669</x:v>
      </x:c>
      <x:c r="H429" s="281" t="n">
        <x:v>0.6225</x:v>
      </x:c>
      <x:c r="I429" s="281" t="n">
        <x:f>F429*'Assumptions'!$B$7*(1+'Assumptions'!$B$9)</x:f>
        <x:v>5.112959999999999</x:v>
      </x:c>
      <x:c r="J429" s="281" t="n">
        <x:f>F429*('Assumptions'!$B$7+'Assumptions'!$B$8)*(1+'Assumptions'!$B$9)</x:f>
        <x:v>15.338879999999998</x:v>
      </x:c>
      <x:c r="K429" s="296" t="n">
        <x:f>MAX(0,ROUNDUP(J429-E429,0))</x:f>
        <x:v>16</x:v>
      </x:c>
      <x:c r="L429" s="298" t="n">
        <x:f>IF(F429=0,"",E429/F429)</x:f>
        <x:v>0</x:v>
      </x:c>
      <x:c r="M429" s="279" t="str">
        <x:f>IF(F429=0,IF(E429&gt;0,"No recent demand","No demand / no stock"),IF(E429&lt;=I429,"Order now",IF(L429&lt;='Assumptions'!$B$8,"Review soon","Sufficient stock")))</x:f>
        <x:v>Order now</x:v>
      </x:c>
      <x:c r="N429" s="300" t="n">
        <x:f>K429*H429</x:f>
        <x:v>9.96</x:v>
      </x:c>
    </x:row>
    <x:row r="430" ht="16.5" customHeight="1">
      <x:c r="A430" s="290" t="str">
        <x:v>SKU1394</x:v>
      </x:c>
      <x:c r="B430" s="291" t="str">
        <x:v>Product 1394</x:v>
      </x:c>
      <x:c r="C430" s="291" t="str">
        <x:v>Store C</x:v>
      </x:c>
      <x:c r="D430" s="291" t="str">
        <x:v>Supplier 24</x:v>
      </x:c>
      <x:c r="E430" s="292" t="n">
        <x:v>5</x:v>
      </x:c>
      <x:c r="F430" s="292" t="n">
        <x:v>2.1304</x:v>
      </x:c>
      <x:c r="G430" s="293" t="n">
        <x:v>58.1</x:v>
      </x:c>
      <x:c r="H430" s="293" t="n">
        <x:v>0.7138</x:v>
      </x:c>
      <x:c r="I430" s="293" t="n">
        <x:f>F430*'Assumptions'!$B$7*(1+'Assumptions'!$B$9)</x:f>
        <x:v>5.112959999999999</x:v>
      </x:c>
      <x:c r="J430" s="293" t="n">
        <x:f>F430*('Assumptions'!$B$7+'Assumptions'!$B$8)*(1+'Assumptions'!$B$9)</x:f>
        <x:v>15.338879999999998</x:v>
      </x:c>
      <x:c r="K430" s="295" t="n">
        <x:f>MAX(0,ROUNDUP(J430-E430,0))</x:f>
        <x:v>11</x:v>
      </x:c>
      <x:c r="L430" s="297" t="n">
        <x:f>IF(F430=0,"",E430/F430)</x:f>
        <x:v>2.3469770935035674</x:v>
      </x:c>
      <x:c r="M430" s="291" t="str">
        <x:f>IF(F430=0,IF(E430&gt;0,"No recent demand","No demand / no stock"),IF(E430&lt;=I430,"Order now",IF(L430&lt;='Assumptions'!$B$8,"Review soon","Sufficient stock")))</x:f>
        <x:v>Order now</x:v>
      </x:c>
      <x:c r="N430" s="299" t="n">
        <x:f>K430*H430</x:f>
        <x:v>7.8518</x:v>
      </x:c>
    </x:row>
    <x:row r="431" ht="16.5" customHeight="1">
      <x:c r="A431" s="278" t="str">
        <x:v>SKU1559</x:v>
      </x:c>
      <x:c r="B431" s="279" t="str">
        <x:v>Product 1559</x:v>
      </x:c>
      <x:c r="C431" s="279" t="str">
        <x:v>Store C</x:v>
      </x:c>
      <x:c r="D431" s="279" t="str">
        <x:v>Supplier 24</x:v>
      </x:c>
      <x:c r="E431" s="280" t="n">
        <x:v>7</x:v>
      </x:c>
      <x:c r="F431" s="280" t="n">
        <x:v>2.1304</x:v>
      </x:c>
      <x:c r="G431" s="281" t="n">
        <x:v>22.41</x:v>
      </x:c>
      <x:c r="H431" s="281" t="n">
        <x:v>0.3818</x:v>
      </x:c>
      <x:c r="I431" s="281" t="n">
        <x:f>F431*'Assumptions'!$B$7*(1+'Assumptions'!$B$9)</x:f>
        <x:v>5.112959999999999</x:v>
      </x:c>
      <x:c r="J431" s="281" t="n">
        <x:f>F431*('Assumptions'!$B$7+'Assumptions'!$B$8)*(1+'Assumptions'!$B$9)</x:f>
        <x:v>15.338879999999998</x:v>
      </x:c>
      <x:c r="K431" s="296" t="n">
        <x:f>MAX(0,ROUNDUP(J431-E431,0))</x:f>
        <x:v>9</x:v>
      </x:c>
      <x:c r="L431" s="298" t="n">
        <x:f>IF(F431=0,"",E431/F431)</x:f>
        <x:v>3.2857679309049947</x:v>
      </x:c>
      <x:c r="M431" s="279" t="str">
        <x:f>IF(F431=0,IF(E431&gt;0,"No recent demand","No demand / no stock"),IF(E431&lt;=I431,"Order now",IF(L431&lt;='Assumptions'!$B$8,"Review soon","Sufficient stock")))</x:f>
        <x:v>Review soon</x:v>
      </x:c>
      <x:c r="N431" s="300" t="n">
        <x:f>K431*H431</x:f>
        <x:v>3.4362</x:v>
      </x:c>
    </x:row>
    <x:row r="432" ht="16.5" customHeight="1">
      <x:c r="A432" s="290" t="str">
        <x:v>SKU1716</x:v>
      </x:c>
      <x:c r="B432" s="291" t="str">
        <x:v>Product 1716</x:v>
      </x:c>
      <x:c r="C432" s="291" t="str">
        <x:v>Store C</x:v>
      </x:c>
      <x:c r="D432" s="291" t="str">
        <x:v>Supplier 46</x:v>
      </x:c>
      <x:c r="E432" s="292" t="n">
        <x:v>0</x:v>
      </x:c>
      <x:c r="F432" s="292" t="n">
        <x:v>2.1304</x:v>
      </x:c>
      <x:c r="G432" s="293" t="n">
        <x:v>36.7856</x:v>
      </x:c>
      <x:c r="H432" s="293" t="n">
        <x:v>0</x:v>
      </x:c>
      <x:c r="I432" s="293" t="n">
        <x:f>F432*'Assumptions'!$B$7*(1+'Assumptions'!$B$9)</x:f>
        <x:v>5.112959999999999</x:v>
      </x:c>
      <x:c r="J432" s="293" t="n">
        <x:f>F432*('Assumptions'!$B$7+'Assumptions'!$B$8)*(1+'Assumptions'!$B$9)</x:f>
        <x:v>15.338879999999998</x:v>
      </x:c>
      <x:c r="K432" s="295" t="n">
        <x:f>MAX(0,ROUNDUP(J432-E432,0))</x:f>
        <x:v>16</x:v>
      </x:c>
      <x:c r="L432" s="297" t="n">
        <x:f>IF(F432=0,"",E432/F432)</x:f>
        <x:v>0</x:v>
      </x:c>
      <x:c r="M432" s="291" t="str">
        <x:f>IF(F432=0,IF(E432&gt;0,"No recent demand","No demand / no stock"),IF(E432&lt;=I432,"Order now",IF(L432&lt;='Assumptions'!$B$8,"Review soon","Sufficient stock")))</x:f>
        <x:v>Order now</x:v>
      </x:c>
      <x:c r="N432" s="299" t="n">
        <x:f>K432*H432</x:f>
        <x:v>0</x:v>
      </x:c>
    </x:row>
    <x:row r="433" ht="16.5" customHeight="1">
      <x:c r="A433" s="278" t="str">
        <x:v>SKU1736</x:v>
      </x:c>
      <x:c r="B433" s="279" t="str">
        <x:v>Product 1736</x:v>
      </x:c>
      <x:c r="C433" s="279" t="str">
        <x:v>Store B</x:v>
      </x:c>
      <x:c r="D433" s="279" t="str">
        <x:v>Supplier 09</x:v>
      </x:c>
      <x:c r="E433" s="280" t="n">
        <x:v>17</x:v>
      </x:c>
      <x:c r="F433" s="280" t="n">
        <x:v>2.1304</x:v>
      </x:c>
      <x:c r="G433" s="281" t="n">
        <x:v>40.7862</x:v>
      </x:c>
      <x:c r="H433" s="281" t="n">
        <x:v>0.415</x:v>
      </x:c>
      <x:c r="I433" s="281" t="n">
        <x:f>F433*'Assumptions'!$B$7*(1+'Assumptions'!$B$9)</x:f>
        <x:v>5.112959999999999</x:v>
      </x:c>
      <x:c r="J433" s="281" t="n">
        <x:f>F433*('Assumptions'!$B$7+'Assumptions'!$B$8)*(1+'Assumptions'!$B$9)</x:f>
        <x:v>15.338879999999998</x:v>
      </x:c>
      <x:c r="K433" s="296" t="n">
        <x:f>MAX(0,ROUNDUP(J433-E433,0))</x:f>
        <x:v>0</x:v>
      </x:c>
      <x:c r="L433" s="298" t="n">
        <x:f>IF(F433=0,"",E433/F433)</x:f>
        <x:v>7.97972211791213</x:v>
      </x:c>
      <x:c r="M433" s="279" t="str">
        <x:f>IF(F433=0,IF(E433&gt;0,"No recent demand","No demand / no stock"),IF(E433&lt;=I433,"Order now",IF(L433&lt;='Assumptions'!$B$8,"Review soon","Sufficient stock")))</x:f>
        <x:v>Sufficient stock</x:v>
      </x:c>
      <x:c r="N433" s="300" t="n">
        <x:f>K433*H433</x:f>
        <x:v>0</x:v>
      </x:c>
    </x:row>
    <x:row r="434" ht="16.5" customHeight="1">
      <x:c r="A434" s="290" t="str">
        <x:v>SKU1745</x:v>
      </x:c>
      <x:c r="B434" s="291" t="str">
        <x:v>Product 1745</x:v>
      </x:c>
      <x:c r="C434" s="291" t="str">
        <x:v>Store B</x:v>
      </x:c>
      <x:c r="D434" s="291" t="str">
        <x:v>Supplier 10</x:v>
      </x:c>
      <x:c r="E434" s="292" t="n">
        <x:v>4</x:v>
      </x:c>
      <x:c r="F434" s="292" t="n">
        <x:v>2.1304</x:v>
      </x:c>
      <x:c r="G434" s="293" t="n">
        <x:v>2.324</x:v>
      </x:c>
      <x:c r="H434" s="293" t="n">
        <x:v>0.083</x:v>
      </x:c>
      <x:c r="I434" s="293" t="n">
        <x:f>F434*'Assumptions'!$B$7*(1+'Assumptions'!$B$9)</x:f>
        <x:v>5.112959999999999</x:v>
      </x:c>
      <x:c r="J434" s="293" t="n">
        <x:f>F434*('Assumptions'!$B$7+'Assumptions'!$B$8)*(1+'Assumptions'!$B$9)</x:f>
        <x:v>15.338879999999998</x:v>
      </x:c>
      <x:c r="K434" s="295" t="n">
        <x:f>MAX(0,ROUNDUP(J434-E434,0))</x:f>
        <x:v>12</x:v>
      </x:c>
      <x:c r="L434" s="297" t="n">
        <x:f>IF(F434=0,"",E434/F434)</x:f>
        <x:v>1.877581674802854</x:v>
      </x:c>
      <x:c r="M434" s="291" t="str">
        <x:f>IF(F434=0,IF(E434&gt;0,"No recent demand","No demand / no stock"),IF(E434&lt;=I434,"Order now",IF(L434&lt;='Assumptions'!$B$8,"Review soon","Sufficient stock")))</x:f>
        <x:v>Order now</x:v>
      </x:c>
      <x:c r="N434" s="299" t="n">
        <x:f>K434*H434</x:f>
        <x:v>0.996</x:v>
      </x:c>
    </x:row>
    <x:row r="435" ht="16.5" customHeight="1">
      <x:c r="A435" s="278" t="str">
        <x:v>SKU1745</x:v>
      </x:c>
      <x:c r="B435" s="279" t="str">
        <x:v>Product 1745</x:v>
      </x:c>
      <x:c r="C435" s="279" t="str">
        <x:v>Store C</x:v>
      </x:c>
      <x:c r="D435" s="279" t="str">
        <x:v>Supplier 10</x:v>
      </x:c>
      <x:c r="E435" s="280" t="n">
        <x:v>4</x:v>
      </x:c>
      <x:c r="F435" s="280" t="n">
        <x:v>2.1304</x:v>
      </x:c>
      <x:c r="G435" s="281" t="n">
        <x:v>2.324</x:v>
      </x:c>
      <x:c r="H435" s="281" t="n">
        <x:v>0.083</x:v>
      </x:c>
      <x:c r="I435" s="281" t="n">
        <x:f>F435*'Assumptions'!$B$7*(1+'Assumptions'!$B$9)</x:f>
        <x:v>5.112959999999999</x:v>
      </x:c>
      <x:c r="J435" s="281" t="n">
        <x:f>F435*('Assumptions'!$B$7+'Assumptions'!$B$8)*(1+'Assumptions'!$B$9)</x:f>
        <x:v>15.338879999999998</x:v>
      </x:c>
      <x:c r="K435" s="296" t="n">
        <x:f>MAX(0,ROUNDUP(J435-E435,0))</x:f>
        <x:v>12</x:v>
      </x:c>
      <x:c r="L435" s="298" t="n">
        <x:f>IF(F435=0,"",E435/F435)</x:f>
        <x:v>1.877581674802854</x:v>
      </x:c>
      <x:c r="M435" s="279" t="str">
        <x:f>IF(F435=0,IF(E435&gt;0,"No recent demand","No demand / no stock"),IF(E435&lt;=I435,"Order now",IF(L435&lt;='Assumptions'!$B$8,"Review soon","Sufficient stock")))</x:f>
        <x:v>Order now</x:v>
      </x:c>
      <x:c r="N435" s="300" t="n">
        <x:f>K435*H435</x:f>
        <x:v>0.996</x:v>
      </x:c>
    </x:row>
    <x:row r="436" ht="16.5" customHeight="1">
      <x:c r="A436" s="290" t="str">
        <x:v>SKU0105</x:v>
      </x:c>
      <x:c r="B436" s="291" t="str">
        <x:v>Product 0105</x:v>
      </x:c>
      <x:c r="C436" s="291" t="str">
        <x:v>Store C</x:v>
      </x:c>
      <x:c r="D436" s="291" t="str">
        <x:v>Supplier 68</x:v>
      </x:c>
      <x:c r="E436" s="292" t="n">
        <x:v>13</x:v>
      </x:c>
      <x:c r="F436" s="292" t="n">
        <x:v>2.0543</x:v>
      </x:c>
      <x:c r="G436" s="293" t="n">
        <x:v>24.651</x:v>
      </x:c>
      <x:c r="H436" s="293" t="n">
        <x:v>0.3735</x:v>
      </x:c>
      <x:c r="I436" s="293" t="n">
        <x:f>F436*'Assumptions'!$B$7*(1+'Assumptions'!$B$9)</x:f>
        <x:v>4.93032</x:v>
      </x:c>
      <x:c r="J436" s="293" t="n">
        <x:f>F436*('Assumptions'!$B$7+'Assumptions'!$B$8)*(1+'Assumptions'!$B$9)</x:f>
        <x:v>14.79096</x:v>
      </x:c>
      <x:c r="K436" s="295" t="n">
        <x:f>MAX(0,ROUNDUP(J436-E436,0))</x:f>
        <x:v>2</x:v>
      </x:c>
      <x:c r="L436" s="297" t="n">
        <x:f>IF(F436=0,"",E436/F436)</x:f>
        <x:v>6.328189650976001</x:v>
      </x:c>
      <x:c r="M436" s="291" t="str">
        <x:f>IF(F436=0,IF(E436&gt;0,"No recent demand","No demand / no stock"),IF(E436&lt;=I436,"Order now",IF(L436&lt;='Assumptions'!$B$8,"Review soon","Sufficient stock")))</x:f>
        <x:v>Sufficient stock</x:v>
      </x:c>
      <x:c r="N436" s="299" t="n">
        <x:f>K436*H436</x:f>
        <x:v>0.747</x:v>
      </x:c>
    </x:row>
    <x:row r="437" ht="16.5" customHeight="1">
      <x:c r="A437" s="278" t="str">
        <x:v>SKU0463</x:v>
      </x:c>
      <x:c r="B437" s="279" t="str">
        <x:v>Product 0463</x:v>
      </x:c>
      <x:c r="C437" s="279" t="str">
        <x:v>Store B</x:v>
      </x:c>
      <x:c r="D437" s="279" t="str">
        <x:v>Supplier 02</x:v>
      </x:c>
      <x:c r="E437" s="280" t="n">
        <x:v>36</x:v>
      </x:c>
      <x:c r="F437" s="280" t="n">
        <x:v>2.0543</x:v>
      </x:c>
      <x:c r="G437" s="281" t="n">
        <x:v>13.3464</x:v>
      </x:c>
      <x:c r="H437" s="281" t="n">
        <x:v>0.1577</x:v>
      </x:c>
      <x:c r="I437" s="281" t="n">
        <x:f>F437*'Assumptions'!$B$7*(1+'Assumptions'!$B$9)</x:f>
        <x:v>4.93032</x:v>
      </x:c>
      <x:c r="J437" s="281" t="n">
        <x:f>F437*('Assumptions'!$B$7+'Assumptions'!$B$8)*(1+'Assumptions'!$B$9)</x:f>
        <x:v>14.79096</x:v>
      </x:c>
      <x:c r="K437" s="296" t="n">
        <x:f>MAX(0,ROUNDUP(J437-E437,0))</x:f>
        <x:v>0</x:v>
      </x:c>
      <x:c r="L437" s="298" t="n">
        <x:f>IF(F437=0,"",E437/F437)</x:f>
        <x:v>17.524217495010465</x:v>
      </x:c>
      <x:c r="M437" s="279" t="str">
        <x:f>IF(F437=0,IF(E437&gt;0,"No recent demand","No demand / no stock"),IF(E437&lt;=I437,"Order now",IF(L437&lt;='Assumptions'!$B$8,"Review soon","Sufficient stock")))</x:f>
        <x:v>Sufficient stock</x:v>
      </x:c>
      <x:c r="N437" s="300" t="n">
        <x:f>K437*H437</x:f>
        <x:v>0</x:v>
      </x:c>
    </x:row>
    <x:row r="438" ht="16.5" customHeight="1">
      <x:c r="A438" s="290" t="str">
        <x:v>SKU0532</x:v>
      </x:c>
      <x:c r="B438" s="291" t="str">
        <x:v>Product 0532</x:v>
      </x:c>
      <x:c r="C438" s="291" t="str">
        <x:v>Store C</x:v>
      </x:c>
      <x:c r="D438" s="291" t="str">
        <x:v>Supplier 59</x:v>
      </x:c>
      <x:c r="E438" s="292" t="n">
        <x:v>0</x:v>
      </x:c>
      <x:c r="F438" s="292" t="n">
        <x:v>2.0543</x:v>
      </x:c>
      <x:c r="G438" s="293" t="n">
        <x:v>82.917</x:v>
      </x:c>
      <x:c r="H438" s="293" t="n">
        <x:v>0.9817</x:v>
      </x:c>
      <x:c r="I438" s="293" t="n">
        <x:f>F438*'Assumptions'!$B$7*(1+'Assumptions'!$B$9)</x:f>
        <x:v>4.93032</x:v>
      </x:c>
      <x:c r="J438" s="293" t="n">
        <x:f>F438*('Assumptions'!$B$7+'Assumptions'!$B$8)*(1+'Assumptions'!$B$9)</x:f>
        <x:v>14.79096</x:v>
      </x:c>
      <x:c r="K438" s="295" t="n">
        <x:f>MAX(0,ROUNDUP(J438-E438,0))</x:f>
        <x:v>15</x:v>
      </x:c>
      <x:c r="L438" s="297" t="n">
        <x:f>IF(F438=0,"",E438/F438)</x:f>
        <x:v>0</x:v>
      </x:c>
      <x:c r="M438" s="291" t="str">
        <x:f>IF(F438=0,IF(E438&gt;0,"No recent demand","No demand / no stock"),IF(E438&lt;=I438,"Order now",IF(L438&lt;='Assumptions'!$B$8,"Review soon","Sufficient stock")))</x:f>
        <x:v>Order now</x:v>
      </x:c>
      <x:c r="N438" s="299" t="n">
        <x:f>K438*H438</x:f>
        <x:v>14.7255</x:v>
      </x:c>
    </x:row>
    <x:row r="439" ht="16.5" customHeight="1">
      <x:c r="A439" s="278" t="str">
        <x:v>SKU0821</x:v>
      </x:c>
      <x:c r="B439" s="279" t="str">
        <x:v>Product 0821</x:v>
      </x:c>
      <x:c r="C439" s="279" t="str">
        <x:v>Store C</x:v>
      </x:c>
      <x:c r="D439" s="279" t="str">
        <x:v>Supplier 69</x:v>
      </x:c>
      <x:c r="E439" s="280" t="n">
        <x:v>3</x:v>
      </x:c>
      <x:c r="F439" s="280" t="n">
        <x:v>2.0543</x:v>
      </x:c>
      <x:c r="G439" s="281" t="n">
        <x:v>4.233</x:v>
      </x:c>
      <x:c r="H439" s="281" t="n">
        <x:v>0.0637</x:v>
      </x:c>
      <x:c r="I439" s="281" t="n">
        <x:f>F439*'Assumptions'!$B$7*(1+'Assumptions'!$B$9)</x:f>
        <x:v>4.93032</x:v>
      </x:c>
      <x:c r="J439" s="281" t="n">
        <x:f>F439*('Assumptions'!$B$7+'Assumptions'!$B$8)*(1+'Assumptions'!$B$9)</x:f>
        <x:v>14.79096</x:v>
      </x:c>
      <x:c r="K439" s="296" t="n">
        <x:f>MAX(0,ROUNDUP(J439-E439,0))</x:f>
        <x:v>12</x:v>
      </x:c>
      <x:c r="L439" s="298" t="n">
        <x:f>IF(F439=0,"",E439/F439)</x:f>
        <x:v>1.4603514579175387</x:v>
      </x:c>
      <x:c r="M439" s="279" t="str">
        <x:f>IF(F439=0,IF(E439&gt;0,"No recent demand","No demand / no stock"),IF(E439&lt;=I439,"Order now",IF(L439&lt;='Assumptions'!$B$8,"Review soon","Sufficient stock")))</x:f>
        <x:v>Order now</x:v>
      </x:c>
      <x:c r="N439" s="300" t="n">
        <x:f>K439*H439</x:f>
        <x:v>0.7644000000000001</x:v>
      </x:c>
    </x:row>
    <x:row r="440" ht="16.5" customHeight="1">
      <x:c r="A440" s="290" t="str">
        <x:v>SKU0875</x:v>
      </x:c>
      <x:c r="B440" s="291" t="str">
        <x:v>Product 0875</x:v>
      </x:c>
      <x:c r="C440" s="291" t="str">
        <x:v>Store C</x:v>
      </x:c>
      <x:c r="D440" s="291" t="str">
        <x:v>Supplier 19</x:v>
      </x:c>
      <x:c r="E440" s="292" t="n">
        <x:v>3</x:v>
      </x:c>
      <x:c r="F440" s="292" t="n">
        <x:v>2.0543</x:v>
      </x:c>
      <x:c r="G440" s="293" t="n">
        <x:v>11.039</x:v>
      </x:c>
      <x:c r="H440" s="293" t="n">
        <x:v>0.1992</x:v>
      </x:c>
      <x:c r="I440" s="293" t="n">
        <x:f>F440*'Assumptions'!$B$7*(1+'Assumptions'!$B$9)</x:f>
        <x:v>4.93032</x:v>
      </x:c>
      <x:c r="J440" s="293" t="n">
        <x:f>F440*('Assumptions'!$B$7+'Assumptions'!$B$8)*(1+'Assumptions'!$B$9)</x:f>
        <x:v>14.79096</x:v>
      </x:c>
      <x:c r="K440" s="295" t="n">
        <x:f>MAX(0,ROUNDUP(J440-E440,0))</x:f>
        <x:v>12</x:v>
      </x:c>
      <x:c r="L440" s="297" t="n">
        <x:f>IF(F440=0,"",E440/F440)</x:f>
        <x:v>1.4603514579175387</x:v>
      </x:c>
      <x:c r="M440" s="291" t="str">
        <x:f>IF(F440=0,IF(E440&gt;0,"No recent demand","No demand / no stock"),IF(E440&lt;=I440,"Order now",IF(L440&lt;='Assumptions'!$B$8,"Review soon","Sufficient stock")))</x:f>
        <x:v>Order now</x:v>
      </x:c>
      <x:c r="N440" s="299" t="n">
        <x:f>K440*H440</x:f>
        <x:v>2.3903999999999996</x:v>
      </x:c>
    </x:row>
    <x:row r="441" ht="16.5" customHeight="1">
      <x:c r="A441" s="278" t="str">
        <x:v>SKU1049</x:v>
      </x:c>
      <x:c r="B441" s="279" t="str">
        <x:v>Product 1049</x:v>
      </x:c>
      <x:c r="C441" s="279" t="str">
        <x:v>Store B</x:v>
      </x:c>
      <x:c r="D441" s="279" t="str">
        <x:v>Supplier 05</x:v>
      </x:c>
      <x:c r="E441" s="280" t="n">
        <x:v>0</x:v>
      </x:c>
      <x:c r="F441" s="280" t="n">
        <x:v>2.0543</x:v>
      </x:c>
      <x:c r="G441" s="281" t="n">
        <x:v>33.615</x:v>
      </x:c>
      <x:c r="H441" s="281" t="n">
        <x:v>0.3585</x:v>
      </x:c>
      <x:c r="I441" s="281" t="n">
        <x:f>F441*'Assumptions'!$B$7*(1+'Assumptions'!$B$9)</x:f>
        <x:v>4.93032</x:v>
      </x:c>
      <x:c r="J441" s="281" t="n">
        <x:f>F441*('Assumptions'!$B$7+'Assumptions'!$B$8)*(1+'Assumptions'!$B$9)</x:f>
        <x:v>14.79096</x:v>
      </x:c>
      <x:c r="K441" s="296" t="n">
        <x:f>MAX(0,ROUNDUP(J441-E441,0))</x:f>
        <x:v>15</x:v>
      </x:c>
      <x:c r="L441" s="298" t="n">
        <x:f>IF(F441=0,"",E441/F441)</x:f>
        <x:v>0</x:v>
      </x:c>
      <x:c r="M441" s="279" t="str">
        <x:f>IF(F441=0,IF(E441&gt;0,"No recent demand","No demand / no stock"),IF(E441&lt;=I441,"Order now",IF(L441&lt;='Assumptions'!$B$8,"Review soon","Sufficient stock")))</x:f>
        <x:v>Order now</x:v>
      </x:c>
      <x:c r="N441" s="300" t="n">
        <x:f>K441*H441</x:f>
        <x:v>5.3774999999999995</x:v>
      </x:c>
    </x:row>
    <x:row r="442" ht="16.5" customHeight="1">
      <x:c r="A442" s="290" t="str">
        <x:v>SKU1050</x:v>
      </x:c>
      <x:c r="B442" s="291" t="str">
        <x:v>Product 1050</x:v>
      </x:c>
      <x:c r="C442" s="291" t="str">
        <x:v>Store C</x:v>
      </x:c>
      <x:c r="D442" s="291" t="str">
        <x:v>Supplier 05</x:v>
      </x:c>
      <x:c r="E442" s="292" t="n">
        <x:v>12</x:v>
      </x:c>
      <x:c r="F442" s="292" t="n">
        <x:v>2.0543</x:v>
      </x:c>
      <x:c r="G442" s="293" t="n">
        <x:v>33.615</x:v>
      </x:c>
      <x:c r="H442" s="293" t="n">
        <x:v>0.3071</x:v>
      </x:c>
      <x:c r="I442" s="293" t="n">
        <x:f>F442*'Assumptions'!$B$7*(1+'Assumptions'!$B$9)</x:f>
        <x:v>4.93032</x:v>
      </x:c>
      <x:c r="J442" s="293" t="n">
        <x:f>F442*('Assumptions'!$B$7+'Assumptions'!$B$8)*(1+'Assumptions'!$B$9)</x:f>
        <x:v>14.79096</x:v>
      </x:c>
      <x:c r="K442" s="295" t="n">
        <x:f>MAX(0,ROUNDUP(J442-E442,0))</x:f>
        <x:v>3</x:v>
      </x:c>
      <x:c r="L442" s="297" t="n">
        <x:f>IF(F442=0,"",E442/F442)</x:f>
        <x:v>5.841405831670155</x:v>
      </x:c>
      <x:c r="M442" s="291" t="str">
        <x:f>IF(F442=0,IF(E442&gt;0,"No recent demand","No demand / no stock"),IF(E442&lt;=I442,"Order now",IF(L442&lt;='Assumptions'!$B$8,"Review soon","Sufficient stock")))</x:f>
        <x:v>Sufficient stock</x:v>
      </x:c>
      <x:c r="N442" s="299" t="n">
        <x:f>K442*H442</x:f>
        <x:v>0.9213</x:v>
      </x:c>
    </x:row>
    <x:row r="443" ht="16.5" customHeight="1">
      <x:c r="A443" s="278" t="str">
        <x:v>SKU1230</x:v>
      </x:c>
      <x:c r="B443" s="279" t="str">
        <x:v>Product 1230</x:v>
      </x:c>
      <x:c r="C443" s="279" t="str">
        <x:v>Store A</x:v>
      </x:c>
      <x:c r="D443" s="279" t="str">
        <x:v>Supplier 19</x:v>
      </x:c>
      <x:c r="E443" s="280" t="n">
        <x:v>123</x:v>
      </x:c>
      <x:c r="F443" s="280" t="n">
        <x:v>2.0543</x:v>
      </x:c>
      <x:c r="G443" s="281" t="n">
        <x:v>5.3701</x:v>
      </x:c>
      <x:c r="H443" s="281" t="n">
        <x:v>0.0498</x:v>
      </x:c>
      <x:c r="I443" s="281" t="n">
        <x:f>F443*'Assumptions'!$B$7*(1+'Assumptions'!$B$9)</x:f>
        <x:v>4.93032</x:v>
      </x:c>
      <x:c r="J443" s="281" t="n">
        <x:f>F443*('Assumptions'!$B$7+'Assumptions'!$B$8)*(1+'Assumptions'!$B$9)</x:f>
        <x:v>14.79096</x:v>
      </x:c>
      <x:c r="K443" s="296" t="n">
        <x:f>MAX(0,ROUNDUP(J443-E443,0))</x:f>
        <x:v>0</x:v>
      </x:c>
      <x:c r="L443" s="298" t="n">
        <x:f>IF(F443=0,"",E443/F443)</x:f>
        <x:v>59.87440977461909</x:v>
      </x:c>
      <x:c r="M443" s="279" t="str">
        <x:f>IF(F443=0,IF(E443&gt;0,"No recent demand","No demand / no stock"),IF(E443&lt;=I443,"Order now",IF(L443&lt;='Assumptions'!$B$8,"Review soon","Sufficient stock")))</x:f>
        <x:v>Sufficient stock</x:v>
      </x:c>
      <x:c r="N443" s="300" t="n">
        <x:f>K443*H443</x:f>
        <x:v>0</x:v>
      </x:c>
    </x:row>
    <x:row r="444" ht="16.5" customHeight="1">
      <x:c r="A444" s="290" t="str">
        <x:v>SKU1236</x:v>
      </x:c>
      <x:c r="B444" s="291" t="str">
        <x:v>Product 1236</x:v>
      </x:c>
      <x:c r="C444" s="291" t="str">
        <x:v>Store C</x:v>
      </x:c>
      <x:c r="D444" s="291" t="str">
        <x:v>Supplier 04</x:v>
      </x:c>
      <x:c r="E444" s="292" t="n">
        <x:v>6</x:v>
      </x:c>
      <x:c r="F444" s="292" t="n">
        <x:v>2.0543</x:v>
      </x:c>
      <x:c r="G444" s="293" t="n">
        <x:v>33.117</x:v>
      </x:c>
      <x:c r="H444" s="293" t="n">
        <x:v>0.4897</x:v>
      </x:c>
      <x:c r="I444" s="293" t="n">
        <x:f>F444*'Assumptions'!$B$7*(1+'Assumptions'!$B$9)</x:f>
        <x:v>4.93032</x:v>
      </x:c>
      <x:c r="J444" s="293" t="n">
        <x:f>F444*('Assumptions'!$B$7+'Assumptions'!$B$8)*(1+'Assumptions'!$B$9)</x:f>
        <x:v>14.79096</x:v>
      </x:c>
      <x:c r="K444" s="295" t="n">
        <x:f>MAX(0,ROUNDUP(J444-E444,0))</x:f>
        <x:v>9</x:v>
      </x:c>
      <x:c r="L444" s="297" t="n">
        <x:f>IF(F444=0,"",E444/F444)</x:f>
        <x:v>2.9207029158350775</x:v>
      </x:c>
      <x:c r="M444" s="291" t="str">
        <x:f>IF(F444=0,IF(E444&gt;0,"No recent demand","No demand / no stock"),IF(E444&lt;=I444,"Order now",IF(L444&lt;='Assumptions'!$B$8,"Review soon","Sufficient stock")))</x:f>
        <x:v>Review soon</x:v>
      </x:c>
      <x:c r="N444" s="299" t="n">
        <x:f>K444*H444</x:f>
        <x:v>4.4073</x:v>
      </x:c>
    </x:row>
    <x:row r="445" ht="16.5" customHeight="1">
      <x:c r="A445" s="278" t="str">
        <x:v>SKU1321</x:v>
      </x:c>
      <x:c r="B445" s="279" t="str">
        <x:v>Product 1321</x:v>
      </x:c>
      <x:c r="C445" s="279" t="str">
        <x:v>Store A</x:v>
      </x:c>
      <x:c r="D445" s="279" t="str">
        <x:v>Supplier 03</x:v>
      </x:c>
      <x:c r="E445" s="280" t="n">
        <x:v>0</x:v>
      </x:c>
      <x:c r="F445" s="280" t="n">
        <x:v>2.0543</x:v>
      </x:c>
      <x:c r="G445" s="281" t="n">
        <x:v>37.9559</x:v>
      </x:c>
      <x:c r="H445" s="281" t="n">
        <x:v>0</x:v>
      </x:c>
      <x:c r="I445" s="281" t="n">
        <x:f>F445*'Assumptions'!$B$7*(1+'Assumptions'!$B$9)</x:f>
        <x:v>4.93032</x:v>
      </x:c>
      <x:c r="J445" s="281" t="n">
        <x:f>F445*('Assumptions'!$B$7+'Assumptions'!$B$8)*(1+'Assumptions'!$B$9)</x:f>
        <x:v>14.79096</x:v>
      </x:c>
      <x:c r="K445" s="296" t="n">
        <x:f>MAX(0,ROUNDUP(J445-E445,0))</x:f>
        <x:v>15</x:v>
      </x:c>
      <x:c r="L445" s="298" t="n">
        <x:f>IF(F445=0,"",E445/F445)</x:f>
        <x:v>0</x:v>
      </x:c>
      <x:c r="M445" s="279" t="str">
        <x:f>IF(F445=0,IF(E445&gt;0,"No recent demand","No demand / no stock"),IF(E445&lt;=I445,"Order now",IF(L445&lt;='Assumptions'!$B$8,"Review soon","Sufficient stock")))</x:f>
        <x:v>Order now</x:v>
      </x:c>
      <x:c r="N445" s="300" t="n">
        <x:f>K445*H445</x:f>
        <x:v>0</x:v>
      </x:c>
    </x:row>
    <x:row r="446" ht="16.5" customHeight="1">
      <x:c r="A446" s="290" t="str">
        <x:v>SKU1606</x:v>
      </x:c>
      <x:c r="B446" s="291" t="str">
        <x:v>Product 1606</x:v>
      </x:c>
      <x:c r="C446" s="291" t="str">
        <x:v>Store B</x:v>
      </x:c>
      <x:c r="D446" s="291" t="str">
        <x:v>Supplier 07</x:v>
      </x:c>
      <x:c r="E446" s="292" t="n">
        <x:v>18</x:v>
      </x:c>
      <x:c r="F446" s="292" t="n">
        <x:v>2.0543</x:v>
      </x:c>
      <x:c r="G446" s="293" t="n">
        <x:v>37.6737</x:v>
      </x:c>
      <x:c r="H446" s="293" t="n">
        <x:v>0.664</x:v>
      </x:c>
      <x:c r="I446" s="293" t="n">
        <x:f>F446*'Assumptions'!$B$7*(1+'Assumptions'!$B$9)</x:f>
        <x:v>4.93032</x:v>
      </x:c>
      <x:c r="J446" s="293" t="n">
        <x:f>F446*('Assumptions'!$B$7+'Assumptions'!$B$8)*(1+'Assumptions'!$B$9)</x:f>
        <x:v>14.79096</x:v>
      </x:c>
      <x:c r="K446" s="295" t="n">
        <x:f>MAX(0,ROUNDUP(J446-E446,0))</x:f>
        <x:v>0</x:v>
      </x:c>
      <x:c r="L446" s="297" t="n">
        <x:f>IF(F446=0,"",E446/F446)</x:f>
        <x:v>8.762108747505232</x:v>
      </x:c>
      <x:c r="M446" s="291" t="str">
        <x:f>IF(F446=0,IF(E446&gt;0,"No recent demand","No demand / no stock"),IF(E446&lt;=I446,"Order now",IF(L446&lt;='Assumptions'!$B$8,"Review soon","Sufficient stock")))</x:f>
        <x:v>Sufficient stock</x:v>
      </x:c>
      <x:c r="N446" s="299" t="n">
        <x:f>K446*H446</x:f>
        <x:v>0</x:v>
      </x:c>
    </x:row>
    <x:row r="447" ht="16.5" customHeight="1">
      <x:c r="A447" s="278" t="str">
        <x:v>SKU1616</x:v>
      </x:c>
      <x:c r="B447" s="279" t="str">
        <x:v>Product 1616</x:v>
      </x:c>
      <x:c r="C447" s="279" t="str">
        <x:v>Store C</x:v>
      </x:c>
      <x:c r="D447" s="279" t="str">
        <x:v>Supplier 07</x:v>
      </x:c>
      <x:c r="E447" s="280" t="n">
        <x:v>22</x:v>
      </x:c>
      <x:c r="F447" s="280" t="n">
        <x:v>2.0543</x:v>
      </x:c>
      <x:c r="G447" s="281" t="n">
        <x:v>37.6737</x:v>
      </x:c>
      <x:c r="H447" s="281" t="n">
        <x:v>0.664</x:v>
      </x:c>
      <x:c r="I447" s="281" t="n">
        <x:f>F447*'Assumptions'!$B$7*(1+'Assumptions'!$B$9)</x:f>
        <x:v>4.93032</x:v>
      </x:c>
      <x:c r="J447" s="281" t="n">
        <x:f>F447*('Assumptions'!$B$7+'Assumptions'!$B$8)*(1+'Assumptions'!$B$9)</x:f>
        <x:v>14.79096</x:v>
      </x:c>
      <x:c r="K447" s="296" t="n">
        <x:f>MAX(0,ROUNDUP(J447-E447,0))</x:f>
        <x:v>0</x:v>
      </x:c>
      <x:c r="L447" s="298" t="n">
        <x:f>IF(F447=0,"",E447/F447)</x:f>
        <x:v>10.709244024728617</x:v>
      </x:c>
      <x:c r="M447" s="279" t="str">
        <x:f>IF(F447=0,IF(E447&gt;0,"No recent demand","No demand / no stock"),IF(E447&lt;=I447,"Order now",IF(L447&lt;='Assumptions'!$B$8,"Review soon","Sufficient stock")))</x:f>
        <x:v>Sufficient stock</x:v>
      </x:c>
      <x:c r="N447" s="300" t="n">
        <x:f>K447*H447</x:f>
        <x:v>0</x:v>
      </x:c>
    </x:row>
    <x:row r="448" ht="16.5" customHeight="1">
      <x:c r="A448" s="290" t="str">
        <x:v>SKU1768</x:v>
      </x:c>
      <x:c r="B448" s="291" t="str">
        <x:v>Product 1768</x:v>
      </x:c>
      <x:c r="C448" s="291" t="str">
        <x:v>Store B</x:v>
      </x:c>
      <x:c r="D448" s="291" t="str">
        <x:v>Multiple suppliers</x:v>
      </x:c>
      <x:c r="E448" s="292" t="n">
        <x:v>0</x:v>
      </x:c>
      <x:c r="F448" s="292" t="n">
        <x:v>2.0543</x:v>
      </x:c>
      <x:c r="G448" s="293" t="n">
        <x:v>56.5396</x:v>
      </x:c>
      <x:c r="H448" s="293" t="n">
        <x:v>0</x:v>
      </x:c>
      <x:c r="I448" s="293" t="n">
        <x:f>F448*'Assumptions'!$B$7*(1+'Assumptions'!$B$9)</x:f>
        <x:v>4.93032</x:v>
      </x:c>
      <x:c r="J448" s="293" t="n">
        <x:f>F448*('Assumptions'!$B$7+'Assumptions'!$B$8)*(1+'Assumptions'!$B$9)</x:f>
        <x:v>14.79096</x:v>
      </x:c>
      <x:c r="K448" s="295" t="n">
        <x:f>MAX(0,ROUNDUP(J448-E448,0))</x:f>
        <x:v>15</x:v>
      </x:c>
      <x:c r="L448" s="297" t="n">
        <x:f>IF(F448=0,"",E448/F448)</x:f>
        <x:v>0</x:v>
      </x:c>
      <x:c r="M448" s="291" t="str">
        <x:f>IF(F448=0,IF(E448&gt;0,"No recent demand","No demand / no stock"),IF(E448&lt;=I448,"Order now",IF(L448&lt;='Assumptions'!$B$8,"Review soon","Sufficient stock")))</x:f>
        <x:v>Order now</x:v>
      </x:c>
      <x:c r="N448" s="299" t="n">
        <x:f>K448*H448</x:f>
        <x:v>0</x:v>
      </x:c>
    </x:row>
    <x:row r="449" ht="16.5" customHeight="1">
      <x:c r="A449" s="278" t="str">
        <x:v>SKU0119</x:v>
      </x:c>
      <x:c r="B449" s="279" t="str">
        <x:v>Product 0119</x:v>
      </x:c>
      <x:c r="C449" s="279" t="str">
        <x:v>Store A</x:v>
      </x:c>
      <x:c r="D449" s="279" t="str">
        <x:v>Supplier 05</x:v>
      </x:c>
      <x:c r="E449" s="280" t="n">
        <x:v>9</x:v>
      </x:c>
      <x:c r="F449" s="280" t="n">
        <x:v>1.9783</x:v>
      </x:c>
      <x:c r="G449" s="281" t="n">
        <x:v>38.2464</x:v>
      </x:c>
      <x:c r="H449" s="281" t="n">
        <x:v>0.4973</x:v>
      </x:c>
      <x:c r="I449" s="281" t="n">
        <x:f>F449*'Assumptions'!$B$7*(1+'Assumptions'!$B$9)</x:f>
        <x:v>4.74792</x:v>
      </x:c>
      <x:c r="J449" s="281" t="n">
        <x:f>F449*('Assumptions'!$B$7+'Assumptions'!$B$8)*(1+'Assumptions'!$B$9)</x:f>
        <x:v>14.24376</x:v>
      </x:c>
      <x:c r="K449" s="296" t="n">
        <x:f>MAX(0,ROUNDUP(J449-E449,0))</x:f>
        <x:v>6</x:v>
      </x:c>
      <x:c r="L449" s="298" t="n">
        <x:f>IF(F449=0,"",E449/F449)</x:f>
        <x:v>4.549360562098772</x:v>
      </x:c>
      <x:c r="M449" s="279" t="str">
        <x:f>IF(F449=0,IF(E449&gt;0,"No recent demand","No demand / no stock"),IF(E449&lt;=I449,"Order now",IF(L449&lt;='Assumptions'!$B$8,"Review soon","Sufficient stock")))</x:f>
        <x:v>Sufficient stock</x:v>
      </x:c>
      <x:c r="N449" s="300" t="n">
        <x:f>K449*H449</x:f>
        <x:v>2.9838</x:v>
      </x:c>
    </x:row>
    <x:row r="450" ht="16.5" customHeight="1">
      <x:c r="A450" s="290" t="str">
        <x:v>SKU0147</x:v>
      </x:c>
      <x:c r="B450" s="291" t="str">
        <x:v>Product 0147</x:v>
      </x:c>
      <x:c r="C450" s="291" t="str">
        <x:v>Store B</x:v>
      </x:c>
      <x:c r="D450" s="291" t="str">
        <x:v>Supplier 68</x:v>
      </x:c>
      <x:c r="E450" s="292" t="n">
        <x:v>19</x:v>
      </x:c>
      <x:c r="F450" s="292" t="n">
        <x:v>1.9783</x:v>
      </x:c>
      <x:c r="G450" s="293" t="n">
        <x:v>23.6467</x:v>
      </x:c>
      <x:c r="H450" s="293" t="n">
        <x:v>0.3403</x:v>
      </x:c>
      <x:c r="I450" s="293" t="n">
        <x:f>F450*'Assumptions'!$B$7*(1+'Assumptions'!$B$9)</x:f>
        <x:v>4.74792</x:v>
      </x:c>
      <x:c r="J450" s="293" t="n">
        <x:f>F450*('Assumptions'!$B$7+'Assumptions'!$B$8)*(1+'Assumptions'!$B$9)</x:f>
        <x:v>14.24376</x:v>
      </x:c>
      <x:c r="K450" s="295" t="n">
        <x:f>MAX(0,ROUNDUP(J450-E450,0))</x:f>
        <x:v>0</x:v>
      </x:c>
      <x:c r="L450" s="297" t="n">
        <x:f>IF(F450=0,"",E450/F450)</x:f>
        <x:v>9.604205631097408</x:v>
      </x:c>
      <x:c r="M450" s="291" t="str">
        <x:f>IF(F450=0,IF(E450&gt;0,"No recent demand","No demand / no stock"),IF(E450&lt;=I450,"Order now",IF(L450&lt;='Assumptions'!$B$8,"Review soon","Sufficient stock")))</x:f>
        <x:v>Sufficient stock</x:v>
      </x:c>
      <x:c r="N450" s="299" t="n">
        <x:f>K450*H450</x:f>
        <x:v>0</x:v>
      </x:c>
    </x:row>
    <x:row r="451" ht="16.5" customHeight="1">
      <x:c r="A451" s="278" t="str">
        <x:v>SKU0738</x:v>
      </x:c>
      <x:c r="B451" s="279" t="str">
        <x:v>Product 0738</x:v>
      </x:c>
      <x:c r="C451" s="279" t="str">
        <x:v>Store A</x:v>
      </x:c>
      <x:c r="D451" s="279" t="str">
        <x:v>Supplier 69</x:v>
      </x:c>
      <x:c r="E451" s="280" t="n">
        <x:v>48</x:v>
      </x:c>
      <x:c r="F451" s="280" t="n">
        <x:v>1.9783</x:v>
      </x:c>
      <x:c r="G451" s="281" t="n">
        <x:v>37.7982</x:v>
      </x:c>
      <x:c r="H451" s="281" t="n">
        <x:v>0.6391</x:v>
      </x:c>
      <x:c r="I451" s="281" t="n">
        <x:f>F451*'Assumptions'!$B$7*(1+'Assumptions'!$B$9)</x:f>
        <x:v>4.74792</x:v>
      </x:c>
      <x:c r="J451" s="281" t="n">
        <x:f>F451*('Assumptions'!$B$7+'Assumptions'!$B$8)*(1+'Assumptions'!$B$9)</x:f>
        <x:v>14.24376</x:v>
      </x:c>
      <x:c r="K451" s="296" t="n">
        <x:f>MAX(0,ROUNDUP(J451-E451,0))</x:f>
        <x:v>0</x:v>
      </x:c>
      <x:c r="L451" s="298" t="n">
        <x:f>IF(F451=0,"",E451/F451)</x:f>
        <x:v>24.26325633119345</x:v>
      </x:c>
      <x:c r="M451" s="279" t="str">
        <x:f>IF(F451=0,IF(E451&gt;0,"No recent demand","No demand / no stock"),IF(E451&lt;=I451,"Order now",IF(L451&lt;='Assumptions'!$B$8,"Review soon","Sufficient stock")))</x:f>
        <x:v>Sufficient stock</x:v>
      </x:c>
      <x:c r="N451" s="300" t="n">
        <x:f>K451*H451</x:f>
        <x:v>0</x:v>
      </x:c>
    </x:row>
    <x:row r="452" ht="16.5" customHeight="1">
      <x:c r="A452" s="290" t="str">
        <x:v>SKU0863</x:v>
      </x:c>
      <x:c r="B452" s="291" t="str">
        <x:v>Product 0863</x:v>
      </x:c>
      <x:c r="C452" s="291" t="str">
        <x:v>Store A</x:v>
      </x:c>
      <x:c r="D452" s="291" t="str">
        <x:v>Supplier 69</x:v>
      </x:c>
      <x:c r="E452" s="292" t="n">
        <x:v>0</x:v>
      </x:c>
      <x:c r="F452" s="292" t="n">
        <x:v>1.9783</x:v>
      </x:c>
      <x:c r="G452" s="293" t="n">
        <x:v>14.3175</x:v>
      </x:c>
      <x:c r="H452" s="293" t="n">
        <x:v>0</x:v>
      </x:c>
      <x:c r="I452" s="293" t="n">
        <x:f>F452*'Assumptions'!$B$7*(1+'Assumptions'!$B$9)</x:f>
        <x:v>4.74792</x:v>
      </x:c>
      <x:c r="J452" s="293" t="n">
        <x:f>F452*('Assumptions'!$B$7+'Assumptions'!$B$8)*(1+'Assumptions'!$B$9)</x:f>
        <x:v>14.24376</x:v>
      </x:c>
      <x:c r="K452" s="295" t="n">
        <x:f>MAX(0,ROUNDUP(J452-E452,0))</x:f>
        <x:v>15</x:v>
      </x:c>
      <x:c r="L452" s="297" t="n">
        <x:f>IF(F452=0,"",E452/F452)</x:f>
        <x:v>0</x:v>
      </x:c>
      <x:c r="M452" s="291" t="str">
        <x:f>IF(F452=0,IF(E452&gt;0,"No recent demand","No demand / no stock"),IF(E452&lt;=I452,"Order now",IF(L452&lt;='Assumptions'!$B$8,"Review soon","Sufficient stock")))</x:f>
        <x:v>Order now</x:v>
      </x:c>
      <x:c r="N452" s="299" t="n">
        <x:f>K452*H452</x:f>
        <x:v>0</x:v>
      </x:c>
    </x:row>
    <x:row r="453" ht="16.5" customHeight="1">
      <x:c r="A453" s="278" t="str">
        <x:v>SKU0876</x:v>
      </x:c>
      <x:c r="B453" s="279" t="str">
        <x:v>Product 0876</x:v>
      </x:c>
      <x:c r="C453" s="279" t="str">
        <x:v>Store C</x:v>
      </x:c>
      <x:c r="D453" s="279" t="str">
        <x:v>Supplier 19</x:v>
      </x:c>
      <x:c r="E453" s="280" t="n">
        <x:v>11</x:v>
      </x:c>
      <x:c r="F453" s="280" t="n">
        <x:v>1.9783</x:v>
      </x:c>
      <x:c r="G453" s="281" t="n">
        <x:v>10.624</x:v>
      </x:c>
      <x:c r="H453" s="281" t="n">
        <x:v>0.1992</x:v>
      </x:c>
      <x:c r="I453" s="281" t="n">
        <x:f>F453*'Assumptions'!$B$7*(1+'Assumptions'!$B$9)</x:f>
        <x:v>4.74792</x:v>
      </x:c>
      <x:c r="J453" s="281" t="n">
        <x:f>F453*('Assumptions'!$B$7+'Assumptions'!$B$8)*(1+'Assumptions'!$B$9)</x:f>
        <x:v>14.24376</x:v>
      </x:c>
      <x:c r="K453" s="296" t="n">
        <x:f>MAX(0,ROUNDUP(J453-E453,0))</x:f>
        <x:v>4</x:v>
      </x:c>
      <x:c r="L453" s="298" t="n">
        <x:f>IF(F453=0,"",E453/F453)</x:f>
        <x:v>5.560329575898499</x:v>
      </x:c>
      <x:c r="M453" s="279" t="str">
        <x:f>IF(F453=0,IF(E453&gt;0,"No recent demand","No demand / no stock"),IF(E453&lt;=I453,"Order now",IF(L453&lt;='Assumptions'!$B$8,"Review soon","Sufficient stock")))</x:f>
        <x:v>Sufficient stock</x:v>
      </x:c>
      <x:c r="N453" s="300" t="n">
        <x:f>K453*H453</x:f>
        <x:v>0.7968</x:v>
      </x:c>
    </x:row>
    <x:row r="454" ht="16.5" customHeight="1">
      <x:c r="A454" s="290" t="str">
        <x:v>SKU0884</x:v>
      </x:c>
      <x:c r="B454" s="291" t="str">
        <x:v>Product 0884</x:v>
      </x:c>
      <x:c r="C454" s="291" t="str">
        <x:v>Store C</x:v>
      </x:c>
      <x:c r="D454" s="291" t="str">
        <x:v>Supplier 02</x:v>
      </x:c>
      <x:c r="E454" s="292" t="n">
        <x:v>15</x:v>
      </x:c>
      <x:c r="F454" s="292" t="n">
        <x:v>1.9783</x:v>
      </x:c>
      <x:c r="G454" s="293" t="n">
        <x:v>34.528</x:v>
      </x:c>
      <x:c r="H454" s="293" t="n">
        <x:v>0.5113</x:v>
      </x:c>
      <x:c r="I454" s="293" t="n">
        <x:f>F454*'Assumptions'!$B$7*(1+'Assumptions'!$B$9)</x:f>
        <x:v>4.74792</x:v>
      </x:c>
      <x:c r="J454" s="293" t="n">
        <x:f>F454*('Assumptions'!$B$7+'Assumptions'!$B$8)*(1+'Assumptions'!$B$9)</x:f>
        <x:v>14.24376</x:v>
      </x:c>
      <x:c r="K454" s="295" t="n">
        <x:f>MAX(0,ROUNDUP(J454-E454,0))</x:f>
        <x:v>0</x:v>
      </x:c>
      <x:c r="L454" s="297" t="n">
        <x:f>IF(F454=0,"",E454/F454)</x:f>
        <x:v>7.582267603497953</x:v>
      </x:c>
      <x:c r="M454" s="291" t="str">
        <x:f>IF(F454=0,IF(E454&gt;0,"No recent demand","No demand / no stock"),IF(E454&lt;=I454,"Order now",IF(L454&lt;='Assumptions'!$B$8,"Review soon","Sufficient stock")))</x:f>
        <x:v>Sufficient stock</x:v>
      </x:c>
      <x:c r="N454" s="299" t="n">
        <x:f>K454*H454</x:f>
        <x:v>0</x:v>
      </x:c>
    </x:row>
    <x:row r="455" ht="16.5" customHeight="1">
      <x:c r="A455" s="278" t="str">
        <x:v>SKU0899</x:v>
      </x:c>
      <x:c r="B455" s="279" t="str">
        <x:v>Product 0899</x:v>
      </x:c>
      <x:c r="C455" s="279" t="str">
        <x:v>Store B</x:v>
      </x:c>
      <x:c r="D455" s="279" t="str">
        <x:v>Supplier 02</x:v>
      </x:c>
      <x:c r="E455" s="280" t="n">
        <x:v>30</x:v>
      </x:c>
      <x:c r="F455" s="280" t="n">
        <x:v>1.9783</x:v>
      </x:c>
      <x:c r="G455" s="281" t="n">
        <x:v>12.7986</x:v>
      </x:c>
      <x:c r="H455" s="281" t="n">
        <x:v>0.1577</x:v>
      </x:c>
      <x:c r="I455" s="281" t="n">
        <x:f>F455*'Assumptions'!$B$7*(1+'Assumptions'!$B$9)</x:f>
        <x:v>4.74792</x:v>
      </x:c>
      <x:c r="J455" s="281" t="n">
        <x:f>F455*('Assumptions'!$B$7+'Assumptions'!$B$8)*(1+'Assumptions'!$B$9)</x:f>
        <x:v>14.24376</x:v>
      </x:c>
      <x:c r="K455" s="296" t="n">
        <x:f>MAX(0,ROUNDUP(J455-E455,0))</x:f>
        <x:v>0</x:v>
      </x:c>
      <x:c r="L455" s="298" t="n">
        <x:f>IF(F455=0,"",E455/F455)</x:f>
        <x:v>15.164535206995906</x:v>
      </x:c>
      <x:c r="M455" s="279" t="str">
        <x:f>IF(F455=0,IF(E455&gt;0,"No recent demand","No demand / no stock"),IF(E455&lt;=I455,"Order now",IF(L455&lt;='Assumptions'!$B$8,"Review soon","Sufficient stock")))</x:f>
        <x:v>Sufficient stock</x:v>
      </x:c>
      <x:c r="N455" s="300" t="n">
        <x:f>K455*H455</x:f>
        <x:v>0</x:v>
      </x:c>
    </x:row>
    <x:row r="456" ht="16.5" customHeight="1">
      <x:c r="A456" s="290" t="str">
        <x:v>SKU1022</x:v>
      </x:c>
      <x:c r="B456" s="291" t="str">
        <x:v>Product 1022</x:v>
      </x:c>
      <x:c r="C456" s="291" t="str">
        <x:v>Store C</x:v>
      </x:c>
      <x:c r="D456" s="291" t="str">
        <x:v>Supplier 42</x:v>
      </x:c>
      <x:c r="E456" s="292" t="n">
        <x:v>10</x:v>
      </x:c>
      <x:c r="F456" s="292" t="n">
        <x:v>1.9783</x:v>
      </x:c>
      <x:c r="G456" s="293" t="n">
        <x:v>42.994</x:v>
      </x:c>
      <x:c r="H456" s="293" t="n">
        <x:v>0.5666</x:v>
      </x:c>
      <x:c r="I456" s="293" t="n">
        <x:f>F456*'Assumptions'!$B$7*(1+'Assumptions'!$B$9)</x:f>
        <x:v>4.74792</x:v>
      </x:c>
      <x:c r="J456" s="293" t="n">
        <x:f>F456*('Assumptions'!$B$7+'Assumptions'!$B$8)*(1+'Assumptions'!$B$9)</x:f>
        <x:v>14.24376</x:v>
      </x:c>
      <x:c r="K456" s="295" t="n">
        <x:f>MAX(0,ROUNDUP(J456-E456,0))</x:f>
        <x:v>5</x:v>
      </x:c>
      <x:c r="L456" s="297" t="n">
        <x:f>IF(F456=0,"",E456/F456)</x:f>
        <x:v>5.0548450689986355</x:v>
      </x:c>
      <x:c r="M456" s="291" t="str">
        <x:f>IF(F456=0,IF(E456&gt;0,"No recent demand","No demand / no stock"),IF(E456&lt;=I456,"Order now",IF(L456&lt;='Assumptions'!$B$8,"Review soon","Sufficient stock")))</x:f>
        <x:v>Sufficient stock</x:v>
      </x:c>
      <x:c r="N456" s="299" t="n">
        <x:f>K456*H456</x:f>
        <x:v>2.833</x:v>
      </x:c>
    </x:row>
    <x:row r="457" ht="16.5" customHeight="1">
      <x:c r="A457" s="278" t="str">
        <x:v>SKU1237</x:v>
      </x:c>
      <x:c r="B457" s="279" t="str">
        <x:v>Product 1237</x:v>
      </x:c>
      <x:c r="C457" s="279" t="str">
        <x:v>Store B</x:v>
      </x:c>
      <x:c r="D457" s="279" t="str">
        <x:v>Supplier 04</x:v>
      </x:c>
      <x:c r="E457" s="280" t="n">
        <x:v>16</x:v>
      </x:c>
      <x:c r="F457" s="280" t="n">
        <x:v>1.9783</x:v>
      </x:c>
      <x:c r="G457" s="281" t="n">
        <x:v>31.9965</x:v>
      </x:c>
      <x:c r="H457" s="281" t="n">
        <x:v>0.4897</x:v>
      </x:c>
      <x:c r="I457" s="281" t="n">
        <x:f>F457*'Assumptions'!$B$7*(1+'Assumptions'!$B$9)</x:f>
        <x:v>4.74792</x:v>
      </x:c>
      <x:c r="J457" s="281" t="n">
        <x:f>F457*('Assumptions'!$B$7+'Assumptions'!$B$8)*(1+'Assumptions'!$B$9)</x:f>
        <x:v>14.24376</x:v>
      </x:c>
      <x:c r="K457" s="296" t="n">
        <x:f>MAX(0,ROUNDUP(J457-E457,0))</x:f>
        <x:v>0</x:v>
      </x:c>
      <x:c r="L457" s="298" t="n">
        <x:f>IF(F457=0,"",E457/F457)</x:f>
        <x:v>8.087752110397817</x:v>
      </x:c>
      <x:c r="M457" s="279" t="str">
        <x:f>IF(F457=0,IF(E457&gt;0,"No recent demand","No demand / no stock"),IF(E457&lt;=I457,"Order now",IF(L457&lt;='Assumptions'!$B$8,"Review soon","Sufficient stock")))</x:f>
        <x:v>Sufficient stock</x:v>
      </x:c>
      <x:c r="N457" s="300" t="n">
        <x:f>K457*H457</x:f>
        <x:v>0</x:v>
      </x:c>
    </x:row>
    <x:row r="458" ht="16.5" customHeight="1">
      <x:c r="A458" s="290" t="str">
        <x:v>SKU1419</x:v>
      </x:c>
      <x:c r="B458" s="291" t="str">
        <x:v>Product 1419</x:v>
      </x:c>
      <x:c r="C458" s="291" t="str">
        <x:v>Store A</x:v>
      </x:c>
      <x:c r="D458" s="291" t="str">
        <x:v>Supplier 24</x:v>
      </x:c>
      <x:c r="E458" s="292" t="n">
        <x:v>30</x:v>
      </x:c>
      <x:c r="F458" s="292" t="n">
        <x:v>1.9783</x:v>
      </x:c>
      <x:c r="G458" s="293" t="n">
        <x:v>16.6664</x:v>
      </x:c>
      <x:c r="H458" s="293" t="n">
        <x:v>0.2988</x:v>
      </x:c>
      <x:c r="I458" s="293" t="n">
        <x:f>F458*'Assumptions'!$B$7*(1+'Assumptions'!$B$9)</x:f>
        <x:v>4.74792</x:v>
      </x:c>
      <x:c r="J458" s="293" t="n">
        <x:f>F458*('Assumptions'!$B$7+'Assumptions'!$B$8)*(1+'Assumptions'!$B$9)</x:f>
        <x:v>14.24376</x:v>
      </x:c>
      <x:c r="K458" s="295" t="n">
        <x:f>MAX(0,ROUNDUP(J458-E458,0))</x:f>
        <x:v>0</x:v>
      </x:c>
      <x:c r="L458" s="297" t="n">
        <x:f>IF(F458=0,"",E458/F458)</x:f>
        <x:v>15.164535206995906</x:v>
      </x:c>
      <x:c r="M458" s="291" t="str">
        <x:f>IF(F458=0,IF(E458&gt;0,"No recent demand","No demand / no stock"),IF(E458&lt;=I458,"Order now",IF(L458&lt;='Assumptions'!$B$8,"Review soon","Sufficient stock")))</x:f>
        <x:v>Sufficient stock</x:v>
      </x:c>
      <x:c r="N458" s="299" t="n">
        <x:f>K458*H458</x:f>
        <x:v>0</x:v>
      </x:c>
    </x:row>
    <x:row r="459" ht="16.5" customHeight="1">
      <x:c r="A459" s="278" t="str">
        <x:v>SKU1536</x:v>
      </x:c>
      <x:c r="B459" s="279" t="str">
        <x:v>Product 1536</x:v>
      </x:c>
      <x:c r="C459" s="279" t="str">
        <x:v>Store C</x:v>
      </x:c>
      <x:c r="D459" s="279" t="str">
        <x:v>Supplier 24</x:v>
      </x:c>
      <x:c r="E459" s="280" t="n">
        <x:v>0</x:v>
      </x:c>
      <x:c r="F459" s="280" t="n">
        <x:v>1.9783</x:v>
      </x:c>
      <x:c r="G459" s="281" t="n">
        <x:v>25.7964</x:v>
      </x:c>
      <x:c r="H459" s="281" t="n">
        <x:v>0.4234</x:v>
      </x:c>
      <x:c r="I459" s="281" t="n">
        <x:f>F459*'Assumptions'!$B$7*(1+'Assumptions'!$B$9)</x:f>
        <x:v>4.74792</x:v>
      </x:c>
      <x:c r="J459" s="281" t="n">
        <x:f>F459*('Assumptions'!$B$7+'Assumptions'!$B$8)*(1+'Assumptions'!$B$9)</x:f>
        <x:v>14.24376</x:v>
      </x:c>
      <x:c r="K459" s="296" t="n">
        <x:f>MAX(0,ROUNDUP(J459-E459,0))</x:f>
        <x:v>15</x:v>
      </x:c>
      <x:c r="L459" s="298" t="n">
        <x:f>IF(F459=0,"",E459/F459)</x:f>
        <x:v>0</x:v>
      </x:c>
      <x:c r="M459" s="279" t="str">
        <x:f>IF(F459=0,IF(E459&gt;0,"No recent demand","No demand / no stock"),IF(E459&lt;=I459,"Order now",IF(L459&lt;='Assumptions'!$B$8,"Review soon","Sufficient stock")))</x:f>
        <x:v>Order now</x:v>
      </x:c>
      <x:c r="N459" s="300" t="n">
        <x:f>K459*H459</x:f>
        <x:v>6.351</x:v>
      </x:c>
    </x:row>
    <x:row r="460" ht="16.5" customHeight="1">
      <x:c r="A460" s="290" t="str">
        <x:v>SKU1587</x:v>
      </x:c>
      <x:c r="B460" s="291" t="str">
        <x:v>Product 1587</x:v>
      </x:c>
      <x:c r="C460" s="291" t="str">
        <x:v>Store B</x:v>
      </x:c>
      <x:c r="D460" s="291" t="str">
        <x:v>Supplier 46</x:v>
      </x:c>
      <x:c r="E460" s="292" t="n">
        <x:v>19</x:v>
      </x:c>
      <x:c r="F460" s="292" t="n">
        <x:v>1.9783</x:v>
      </x:c>
      <x:c r="G460" s="293" t="n">
        <x:v>34.2624</x:v>
      </x:c>
      <x:c r="H460" s="293" t="n">
        <x:v>0.5063</x:v>
      </x:c>
      <x:c r="I460" s="293" t="n">
        <x:f>F460*'Assumptions'!$B$7*(1+'Assumptions'!$B$9)</x:f>
        <x:v>4.74792</x:v>
      </x:c>
      <x:c r="J460" s="293" t="n">
        <x:f>F460*('Assumptions'!$B$7+'Assumptions'!$B$8)*(1+'Assumptions'!$B$9)</x:f>
        <x:v>14.24376</x:v>
      </x:c>
      <x:c r="K460" s="295" t="n">
        <x:f>MAX(0,ROUNDUP(J460-E460,0))</x:f>
        <x:v>0</x:v>
      </x:c>
      <x:c r="L460" s="297" t="n">
        <x:f>IF(F460=0,"",E460/F460)</x:f>
        <x:v>9.604205631097408</x:v>
      </x:c>
      <x:c r="M460" s="291" t="str">
        <x:f>IF(F460=0,IF(E460&gt;0,"No recent demand","No demand / no stock"),IF(E460&lt;=I460,"Order now",IF(L460&lt;='Assumptions'!$B$8,"Review soon","Sufficient stock")))</x:f>
        <x:v>Sufficient stock</x:v>
      </x:c>
      <x:c r="N460" s="299" t="n">
        <x:f>K460*H460</x:f>
        <x:v>0</x:v>
      </x:c>
    </x:row>
    <x:row r="461" ht="16.5" customHeight="1">
      <x:c r="A461" s="278" t="str">
        <x:v>SKU1609</x:v>
      </x:c>
      <x:c r="B461" s="279" t="str">
        <x:v>Product 1609</x:v>
      </x:c>
      <x:c r="C461" s="279" t="str">
        <x:v>Store C</x:v>
      </x:c>
      <x:c r="D461" s="279" t="str">
        <x:v>Supplier 07</x:v>
      </x:c>
      <x:c r="E461" s="280" t="n">
        <x:v>23</x:v>
      </x:c>
      <x:c r="F461" s="280" t="n">
        <x:v>1.9783</x:v>
      </x:c>
      <x:c r="G461" s="281" t="n">
        <x:v>36.1216</x:v>
      </x:c>
      <x:c r="H461" s="281" t="n">
        <x:v>0.664</x:v>
      </x:c>
      <x:c r="I461" s="281" t="n">
        <x:f>F461*'Assumptions'!$B$7*(1+'Assumptions'!$B$9)</x:f>
        <x:v>4.74792</x:v>
      </x:c>
      <x:c r="J461" s="281" t="n">
        <x:f>F461*('Assumptions'!$B$7+'Assumptions'!$B$8)*(1+'Assumptions'!$B$9)</x:f>
        <x:v>14.24376</x:v>
      </x:c>
      <x:c r="K461" s="296" t="n">
        <x:f>MAX(0,ROUNDUP(J461-E461,0))</x:f>
        <x:v>0</x:v>
      </x:c>
      <x:c r="L461" s="298" t="n">
        <x:f>IF(F461=0,"",E461/F461)</x:f>
        <x:v>11.626143658696861</x:v>
      </x:c>
      <x:c r="M461" s="279" t="str">
        <x:f>IF(F461=0,IF(E461&gt;0,"No recent demand","No demand / no stock"),IF(E461&lt;=I461,"Order now",IF(L461&lt;='Assumptions'!$B$8,"Review soon","Sufficient stock")))</x:f>
        <x:v>Sufficient stock</x:v>
      </x:c>
      <x:c r="N461" s="300" t="n">
        <x:f>K461*H461</x:f>
        <x:v>0</x:v>
      </x:c>
    </x:row>
    <x:row r="462" ht="16.5" customHeight="1">
      <x:c r="A462" s="290" t="str">
        <x:v>SKU0121</x:v>
      </x:c>
      <x:c r="B462" s="291" t="str">
        <x:v>Product 0121</x:v>
      </x:c>
      <x:c r="C462" s="291" t="str">
        <x:v>Store A</x:v>
      </x:c>
      <x:c r="D462" s="291" t="str">
        <x:v>Supplier 05</x:v>
      </x:c>
      <x:c r="E462" s="292" t="n">
        <x:v>40</x:v>
      </x:c>
      <x:c r="F462" s="292" t="n">
        <x:v>1.9022</x:v>
      </x:c>
      <x:c r="G462" s="293" t="n">
        <x:v>49.6008</x:v>
      </x:c>
      <x:c r="H462" s="293" t="n">
        <x:v>0.6903</x:v>
      </x:c>
      <x:c r="I462" s="293" t="n">
        <x:f>F462*'Assumptions'!$B$7*(1+'Assumptions'!$B$9)</x:f>
        <x:v>4.56528</x:v>
      </x:c>
      <x:c r="J462" s="293" t="n">
        <x:f>F462*('Assumptions'!$B$7+'Assumptions'!$B$8)*(1+'Assumptions'!$B$9)</x:f>
        <x:v>13.695839999999999</x:v>
      </x:c>
      <x:c r="K462" s="295" t="n">
        <x:f>MAX(0,ROUNDUP(J462-E462,0))</x:f>
        <x:v>0</x:v>
      </x:c>
      <x:c r="L462" s="297" t="n">
        <x:f>IF(F462=0,"",E462/F462)</x:f>
        <x:v>21.02828304068973</x:v>
      </x:c>
      <x:c r="M462" s="291" t="str">
        <x:f>IF(F462=0,IF(E462&gt;0,"No recent demand","No demand / no stock"),IF(E462&lt;=I462,"Order now",IF(L462&lt;='Assumptions'!$B$8,"Review soon","Sufficient stock")))</x:f>
        <x:v>Sufficient stock</x:v>
      </x:c>
      <x:c r="N462" s="299" t="n">
        <x:f>K462*H462</x:f>
        <x:v>0</x:v>
      </x:c>
    </x:row>
    <x:row r="463" ht="16.5" customHeight="1">
      <x:c r="A463" s="278" t="str">
        <x:v>SKU0153</x:v>
      </x:c>
      <x:c r="B463" s="279" t="str">
        <x:v>Product 0153</x:v>
      </x:c>
      <x:c r="C463" s="279" t="str">
        <x:v>Store A</x:v>
      </x:c>
      <x:c r="D463" s="279" t="str">
        <x:v>Multiple suppliers</x:v>
      </x:c>
      <x:c r="E463" s="280" t="n">
        <x:v>24</x:v>
      </x:c>
      <x:c r="F463" s="280" t="n">
        <x:v>1.9022</x:v>
      </x:c>
      <x:c r="G463" s="281" t="n">
        <x:v>9.1051</x:v>
      </x:c>
      <x:c r="H463" s="281" t="n">
        <x:v>0.1826</x:v>
      </x:c>
      <x:c r="I463" s="281" t="n">
        <x:f>F463*'Assumptions'!$B$7*(1+'Assumptions'!$B$9)</x:f>
        <x:v>4.56528</x:v>
      </x:c>
      <x:c r="J463" s="281" t="n">
        <x:f>F463*('Assumptions'!$B$7+'Assumptions'!$B$8)*(1+'Assumptions'!$B$9)</x:f>
        <x:v>13.695839999999999</x:v>
      </x:c>
      <x:c r="K463" s="296" t="n">
        <x:f>MAX(0,ROUNDUP(J463-E463,0))</x:f>
        <x:v>0</x:v>
      </x:c>
      <x:c r="L463" s="298" t="n">
        <x:f>IF(F463=0,"",E463/F463)</x:f>
        <x:v>12.616969824413838</x:v>
      </x:c>
      <x:c r="M463" s="279" t="str">
        <x:f>IF(F463=0,IF(E463&gt;0,"No recent demand","No demand / no stock"),IF(E463&lt;=I463,"Order now",IF(L463&lt;='Assumptions'!$B$8,"Review soon","Sufficient stock")))</x:f>
        <x:v>Sufficient stock</x:v>
      </x:c>
      <x:c r="N463" s="300" t="n">
        <x:f>K463*H463</x:f>
        <x:v>0</x:v>
      </x:c>
    </x:row>
    <x:row r="464" ht="16.5" customHeight="1">
      <x:c r="A464" s="290" t="str">
        <x:v>SKU0398</x:v>
      </x:c>
      <x:c r="B464" s="291" t="str">
        <x:v>Product 0398</x:v>
      </x:c>
      <x:c r="C464" s="291" t="str">
        <x:v>Store C</x:v>
      </x:c>
      <x:c r="D464" s="291" t="str">
        <x:v>Supplier 59</x:v>
      </x:c>
      <x:c r="E464" s="292" t="n">
        <x:v>0</x:v>
      </x:c>
      <x:c r="F464" s="292" t="n">
        <x:v>1.9022</x:v>
      </x:c>
      <x:c r="G464" s="293" t="n">
        <x:v>59.2122</x:v>
      </x:c>
      <x:c r="H464" s="293" t="n">
        <x:v>0.996</x:v>
      </x:c>
      <x:c r="I464" s="293" t="n">
        <x:f>F464*'Assumptions'!$B$7*(1+'Assumptions'!$B$9)</x:f>
        <x:v>4.56528</x:v>
      </x:c>
      <x:c r="J464" s="293" t="n">
        <x:f>F464*('Assumptions'!$B$7+'Assumptions'!$B$8)*(1+'Assumptions'!$B$9)</x:f>
        <x:v>13.695839999999999</x:v>
      </x:c>
      <x:c r="K464" s="295" t="n">
        <x:f>MAX(0,ROUNDUP(J464-E464,0))</x:f>
        <x:v>14</x:v>
      </x:c>
      <x:c r="L464" s="297" t="n">
        <x:f>IF(F464=0,"",E464/F464)</x:f>
        <x:v>0</x:v>
      </x:c>
      <x:c r="M464" s="291" t="str">
        <x:f>IF(F464=0,IF(E464&gt;0,"No recent demand","No demand / no stock"),IF(E464&lt;=I464,"Order now",IF(L464&lt;='Assumptions'!$B$8,"Review soon","Sufficient stock")))</x:f>
        <x:v>Order now</x:v>
      </x:c>
      <x:c r="N464" s="299" t="n">
        <x:f>K464*H464</x:f>
        <x:v>13.943999999999999</x:v>
      </x:c>
    </x:row>
    <x:row r="465" ht="16.5" customHeight="1">
      <x:c r="A465" s="278" t="str">
        <x:v>SKU0658</x:v>
      </x:c>
      <x:c r="B465" s="279" t="str">
        <x:v>Product 0658</x:v>
      </x:c>
      <x:c r="C465" s="279" t="str">
        <x:v>Store A</x:v>
      </x:c>
      <x:c r="D465" s="279" t="str">
        <x:v>Supplier 16</x:v>
      </x:c>
      <x:c r="E465" s="280" t="n">
        <x:v>0</x:v>
      </x:c>
      <x:c r="F465" s="280" t="n">
        <x:v>1.9022</x:v>
      </x:c>
      <x:c r="G465" s="281" t="n">
        <x:v>20.335</x:v>
      </x:c>
      <x:c r="H465" s="281" t="n">
        <x:v>0.2716</x:v>
      </x:c>
      <x:c r="I465" s="281" t="n">
        <x:f>F465*'Assumptions'!$B$7*(1+'Assumptions'!$B$9)</x:f>
        <x:v>4.56528</x:v>
      </x:c>
      <x:c r="J465" s="281" t="n">
        <x:f>F465*('Assumptions'!$B$7+'Assumptions'!$B$8)*(1+'Assumptions'!$B$9)</x:f>
        <x:v>13.695839999999999</x:v>
      </x:c>
      <x:c r="K465" s="296" t="n">
        <x:f>MAX(0,ROUNDUP(J465-E465,0))</x:f>
        <x:v>14</x:v>
      </x:c>
      <x:c r="L465" s="298" t="n">
        <x:f>IF(F465=0,"",E465/F465)</x:f>
        <x:v>0</x:v>
      </x:c>
      <x:c r="M465" s="279" t="str">
        <x:f>IF(F465=0,IF(E465&gt;0,"No recent demand","No demand / no stock"),IF(E465&lt;=I465,"Order now",IF(L465&lt;='Assumptions'!$B$8,"Review soon","Sufficient stock")))</x:f>
        <x:v>Order now</x:v>
      </x:c>
      <x:c r="N465" s="300" t="n">
        <x:f>K465*H465</x:f>
        <x:v>3.8024</x:v>
      </x:c>
    </x:row>
    <x:row r="466" ht="16.5" customHeight="1">
      <x:c r="A466" s="290" t="str">
        <x:v>SKU0708</x:v>
      </x:c>
      <x:c r="B466" s="291" t="str">
        <x:v>Product 0708</x:v>
      </x:c>
      <x:c r="C466" s="291" t="str">
        <x:v>Store C</x:v>
      </x:c>
      <x:c r="D466" s="291" t="str">
        <x:v>Supplier 02</x:v>
      </x:c>
      <x:c r="E466" s="292" t="n">
        <x:v>1</x:v>
      </x:c>
      <x:c r="F466" s="292" t="n">
        <x:v>1.9022</x:v>
      </x:c>
      <x:c r="G466" s="293" t="n">
        <x:v>24.9</x:v>
      </x:c>
      <x:c r="H466" s="293" t="n">
        <x:v>0.366</x:v>
      </x:c>
      <x:c r="I466" s="293" t="n">
        <x:f>F466*'Assumptions'!$B$7*(1+'Assumptions'!$B$9)</x:f>
        <x:v>4.56528</x:v>
      </x:c>
      <x:c r="J466" s="293" t="n">
        <x:f>F466*('Assumptions'!$B$7+'Assumptions'!$B$8)*(1+'Assumptions'!$B$9)</x:f>
        <x:v>13.695839999999999</x:v>
      </x:c>
      <x:c r="K466" s="295" t="n">
        <x:f>MAX(0,ROUNDUP(J466-E466,0))</x:f>
        <x:v>13</x:v>
      </x:c>
      <x:c r="L466" s="297" t="n">
        <x:f>IF(F466=0,"",E466/F466)</x:f>
        <x:v>0.5257070760172432</x:v>
      </x:c>
      <x:c r="M466" s="291" t="str">
        <x:f>IF(F466=0,IF(E466&gt;0,"No recent demand","No demand / no stock"),IF(E466&lt;=I466,"Order now",IF(L466&lt;='Assumptions'!$B$8,"Review soon","Sufficient stock")))</x:f>
        <x:v>Order now</x:v>
      </x:c>
      <x:c r="N466" s="299" t="n">
        <x:f>K466*H466</x:f>
        <x:v>4.758</x:v>
      </x:c>
    </x:row>
    <x:row r="467" ht="16.5" customHeight="1">
      <x:c r="A467" s="278" t="str">
        <x:v>SKU0711</x:v>
      </x:c>
      <x:c r="B467" s="279" t="str">
        <x:v>Product 0711</x:v>
      </x:c>
      <x:c r="C467" s="279" t="str">
        <x:v>Store A</x:v>
      </x:c>
      <x:c r="D467" s="279" t="str">
        <x:v>Supplier 02</x:v>
      </x:c>
      <x:c r="E467" s="280" t="n">
        <x:v>0</x:v>
      </x:c>
      <x:c r="F467" s="280" t="n">
        <x:v>1.9022</x:v>
      </x:c>
      <x:c r="G467" s="281" t="n">
        <x:v>18.1521</x:v>
      </x:c>
      <x:c r="H467" s="281" t="n">
        <x:v>0.2905</x:v>
      </x:c>
      <x:c r="I467" s="281" t="n">
        <x:f>F467*'Assumptions'!$B$7*(1+'Assumptions'!$B$9)</x:f>
        <x:v>4.56528</x:v>
      </x:c>
      <x:c r="J467" s="281" t="n">
        <x:f>F467*('Assumptions'!$B$7+'Assumptions'!$B$8)*(1+'Assumptions'!$B$9)</x:f>
        <x:v>13.695839999999999</x:v>
      </x:c>
      <x:c r="K467" s="296" t="n">
        <x:f>MAX(0,ROUNDUP(J467-E467,0))</x:f>
        <x:v>14</x:v>
      </x:c>
      <x:c r="L467" s="298" t="n">
        <x:f>IF(F467=0,"",E467/F467)</x:f>
        <x:v>0</x:v>
      </x:c>
      <x:c r="M467" s="279" t="str">
        <x:f>IF(F467=0,IF(E467&gt;0,"No recent demand","No demand / no stock"),IF(E467&lt;=I467,"Order now",IF(L467&lt;='Assumptions'!$B$8,"Review soon","Sufficient stock")))</x:f>
        <x:v>Order now</x:v>
      </x:c>
      <x:c r="N467" s="300" t="n">
        <x:f>K467*H467</x:f>
        <x:v>4.067</x:v>
      </x:c>
    </x:row>
    <x:row r="468" ht="16.5" customHeight="1">
      <x:c r="A468" s="290" t="str">
        <x:v>SKU0798</x:v>
      </x:c>
      <x:c r="B468" s="291" t="str">
        <x:v>Product 0798</x:v>
      </x:c>
      <x:c r="C468" s="291" t="str">
        <x:v>Store C</x:v>
      </x:c>
      <x:c r="D468" s="291" t="str">
        <x:v>Supplier 66</x:v>
      </x:c>
      <x:c r="E468" s="292" t="n">
        <x:v>0</x:v>
      </x:c>
      <x:c r="F468" s="292" t="n">
        <x:v>1.9022</x:v>
      </x:c>
      <x:c r="G468" s="293" t="n">
        <x:v>78.85</x:v>
      </x:c>
      <x:c r="H468" s="293" t="n">
        <x:v>0</x:v>
      </x:c>
      <x:c r="I468" s="293" t="n">
        <x:f>F468*'Assumptions'!$B$7*(1+'Assumptions'!$B$9)</x:f>
        <x:v>4.56528</x:v>
      </x:c>
      <x:c r="J468" s="293" t="n">
        <x:f>F468*('Assumptions'!$B$7+'Assumptions'!$B$8)*(1+'Assumptions'!$B$9)</x:f>
        <x:v>13.695839999999999</x:v>
      </x:c>
      <x:c r="K468" s="295" t="n">
        <x:f>MAX(0,ROUNDUP(J468-E468,0))</x:f>
        <x:v>14</x:v>
      </x:c>
      <x:c r="L468" s="297" t="n">
        <x:f>IF(F468=0,"",E468/F468)</x:f>
        <x:v>0</x:v>
      </x:c>
      <x:c r="M468" s="291" t="str">
        <x:f>IF(F468=0,IF(E468&gt;0,"No recent demand","No demand / no stock"),IF(E468&lt;=I468,"Order now",IF(L468&lt;='Assumptions'!$B$8,"Review soon","Sufficient stock")))</x:f>
        <x:v>Order now</x:v>
      </x:c>
      <x:c r="N468" s="299" t="n">
        <x:f>K468*H468</x:f>
        <x:v>0</x:v>
      </x:c>
    </x:row>
    <x:row r="469" ht="16.5" customHeight="1">
      <x:c r="A469" s="278" t="str">
        <x:v>SKU0801</x:v>
      </x:c>
      <x:c r="B469" s="279" t="str">
        <x:v>Product 0801</x:v>
      </x:c>
      <x:c r="C469" s="279" t="str">
        <x:v>Store B</x:v>
      </x:c>
      <x:c r="D469" s="279" t="str">
        <x:v>Supplier 66</x:v>
      </x:c>
      <x:c r="E469" s="280" t="n">
        <x:v>13</x:v>
      </x:c>
      <x:c r="F469" s="280" t="n">
        <x:v>1.9022</x:v>
      </x:c>
      <x:c r="G469" s="281" t="n">
        <x:v>39.425</x:v>
      </x:c>
      <x:c r="H469" s="281" t="n">
        <x:v>0.6225</x:v>
      </x:c>
      <x:c r="I469" s="281" t="n">
        <x:f>F469*'Assumptions'!$B$7*(1+'Assumptions'!$B$9)</x:f>
        <x:v>4.56528</x:v>
      </x:c>
      <x:c r="J469" s="281" t="n">
        <x:f>F469*('Assumptions'!$B$7+'Assumptions'!$B$8)*(1+'Assumptions'!$B$9)</x:f>
        <x:v>13.695839999999999</x:v>
      </x:c>
      <x:c r="K469" s="296" t="n">
        <x:f>MAX(0,ROUNDUP(J469-E469,0))</x:f>
        <x:v>1</x:v>
      </x:c>
      <x:c r="L469" s="298" t="n">
        <x:f>IF(F469=0,"",E469/F469)</x:f>
        <x:v>6.834191988224162</x:v>
      </x:c>
      <x:c r="M469" s="279" t="str">
        <x:f>IF(F469=0,IF(E469&gt;0,"No recent demand","No demand / no stock"),IF(E469&lt;=I469,"Order now",IF(L469&lt;='Assumptions'!$B$8,"Review soon","Sufficient stock")))</x:f>
        <x:v>Sufficient stock</x:v>
      </x:c>
      <x:c r="N469" s="300" t="n">
        <x:f>K469*H469</x:f>
        <x:v>0.6225</x:v>
      </x:c>
    </x:row>
    <x:row r="470" ht="16.5" customHeight="1">
      <x:c r="A470" s="290" t="str">
        <x:v>SKU0901</x:v>
      </x:c>
      <x:c r="B470" s="291" t="str">
        <x:v>Product 0901</x:v>
      </x:c>
      <x:c r="C470" s="291" t="str">
        <x:v>Store B</x:v>
      </x:c>
      <x:c r="D470" s="291" t="str">
        <x:v>Supplier 02</x:v>
      </x:c>
      <x:c r="E470" s="292" t="n">
        <x:v>1</x:v>
      </x:c>
      <x:c r="F470" s="292" t="n">
        <x:v>1.9022</x:v>
      </x:c>
      <x:c r="G470" s="293" t="n">
        <x:v>12.45</x:v>
      </x:c>
      <x:c r="H470" s="293" t="n">
        <x:v>0.2548</x:v>
      </x:c>
      <x:c r="I470" s="293" t="n">
        <x:f>F470*'Assumptions'!$B$7*(1+'Assumptions'!$B$9)</x:f>
        <x:v>4.56528</x:v>
      </x:c>
      <x:c r="J470" s="293" t="n">
        <x:f>F470*('Assumptions'!$B$7+'Assumptions'!$B$8)*(1+'Assumptions'!$B$9)</x:f>
        <x:v>13.695839999999999</x:v>
      </x:c>
      <x:c r="K470" s="295" t="n">
        <x:f>MAX(0,ROUNDUP(J470-E470,0))</x:f>
        <x:v>13</x:v>
      </x:c>
      <x:c r="L470" s="297" t="n">
        <x:f>IF(F470=0,"",E470/F470)</x:f>
        <x:v>0.5257070760172432</x:v>
      </x:c>
      <x:c r="M470" s="291" t="str">
        <x:f>IF(F470=0,IF(E470&gt;0,"No recent demand","No demand / no stock"),IF(E470&lt;=I470,"Order now",IF(L470&lt;='Assumptions'!$B$8,"Review soon","Sufficient stock")))</x:f>
        <x:v>Order now</x:v>
      </x:c>
      <x:c r="N470" s="299" t="n">
        <x:f>K470*H470</x:f>
        <x:v>3.3124000000000002</x:v>
      </x:c>
    </x:row>
    <x:row r="471" ht="16.5" customHeight="1">
      <x:c r="A471" s="278" t="str">
        <x:v>SKU0986</x:v>
      </x:c>
      <x:c r="B471" s="279" t="str">
        <x:v>Product 0986</x:v>
      </x:c>
      <x:c r="C471" s="279" t="str">
        <x:v>Store C</x:v>
      </x:c>
      <x:c r="D471" s="279" t="str">
        <x:v>Supplier 46</x:v>
      </x:c>
      <x:c r="E471" s="280" t="n">
        <x:v>4</x:v>
      </x:c>
      <x:c r="F471" s="280" t="n">
        <x:v>1.9022</x:v>
      </x:c>
      <x:c r="G471" s="281" t="n">
        <x:v>37.35</x:v>
      </x:c>
      <x:c r="H471" s="281" t="n">
        <x:v>0.6059</x:v>
      </x:c>
      <x:c r="I471" s="281" t="n">
        <x:f>F471*'Assumptions'!$B$7*(1+'Assumptions'!$B$9)</x:f>
        <x:v>4.56528</x:v>
      </x:c>
      <x:c r="J471" s="281" t="n">
        <x:f>F471*('Assumptions'!$B$7+'Assumptions'!$B$8)*(1+'Assumptions'!$B$9)</x:f>
        <x:v>13.695839999999999</x:v>
      </x:c>
      <x:c r="K471" s="296" t="n">
        <x:f>MAX(0,ROUNDUP(J471-E471,0))</x:f>
        <x:v>10</x:v>
      </x:c>
      <x:c r="L471" s="298" t="n">
        <x:f>IF(F471=0,"",E471/F471)</x:f>
        <x:v>2.102828304068973</x:v>
      </x:c>
      <x:c r="M471" s="279" t="str">
        <x:f>IF(F471=0,IF(E471&gt;0,"No recent demand","No demand / no stock"),IF(E471&lt;=I471,"Order now",IF(L471&lt;='Assumptions'!$B$8,"Review soon","Sufficient stock")))</x:f>
        <x:v>Order now</x:v>
      </x:c>
      <x:c r="N471" s="300" t="n">
        <x:f>K471*H471</x:f>
        <x:v>6.059</x:v>
      </x:c>
    </x:row>
    <x:row r="472" ht="16.5" customHeight="1">
      <x:c r="A472" s="290" t="str">
        <x:v>SKU1071</x:v>
      </x:c>
      <x:c r="B472" s="291" t="str">
        <x:v>Product 1071</x:v>
      </x:c>
      <x:c r="C472" s="291" t="str">
        <x:v>Store C</x:v>
      </x:c>
      <x:c r="D472" s="291" t="str">
        <x:v>Supplier 02</x:v>
      </x:c>
      <x:c r="E472" s="292" t="n">
        <x:v>5</x:v>
      </x:c>
      <x:c r="F472" s="292" t="n">
        <x:v>1.9022</x:v>
      </x:c>
      <x:c r="G472" s="293" t="n">
        <x:v>33.2</x:v>
      </x:c>
      <x:c r="H472" s="293" t="n">
        <x:v>0.406</x:v>
      </x:c>
      <x:c r="I472" s="293" t="n">
        <x:f>F472*'Assumptions'!$B$7*(1+'Assumptions'!$B$9)</x:f>
        <x:v>4.56528</x:v>
      </x:c>
      <x:c r="J472" s="293" t="n">
        <x:f>F472*('Assumptions'!$B$7+'Assumptions'!$B$8)*(1+'Assumptions'!$B$9)</x:f>
        <x:v>13.695839999999999</x:v>
      </x:c>
      <x:c r="K472" s="295" t="n">
        <x:f>MAX(0,ROUNDUP(J472-E472,0))</x:f>
        <x:v>9</x:v>
      </x:c>
      <x:c r="L472" s="297" t="n">
        <x:f>IF(F472=0,"",E472/F472)</x:f>
        <x:v>2.628535380086216</x:v>
      </x:c>
      <x:c r="M472" s="291" t="str">
        <x:f>IF(F472=0,IF(E472&gt;0,"No recent demand","No demand / no stock"),IF(E472&lt;=I472,"Order now",IF(L472&lt;='Assumptions'!$B$8,"Review soon","Sufficient stock")))</x:f>
        <x:v>Review soon</x:v>
      </x:c>
      <x:c r="N472" s="299" t="n">
        <x:f>K472*H472</x:f>
        <x:v>3.6540000000000004</x:v>
      </x:c>
    </x:row>
    <x:row r="473" ht="16.5" customHeight="1">
      <x:c r="A473" s="278" t="str">
        <x:v>SKU1088</x:v>
      </x:c>
      <x:c r="B473" s="279" t="str">
        <x:v>Product 1088</x:v>
      </x:c>
      <x:c r="C473" s="279" t="str">
        <x:v>Store A</x:v>
      </x:c>
      <x:c r="D473" s="279" t="str">
        <x:v>Supplier 51</x:v>
      </x:c>
      <x:c r="E473" s="280" t="n">
        <x:v>8</x:v>
      </x:c>
      <x:c r="F473" s="280" t="n">
        <x:v>1.9022</x:v>
      </x:c>
      <x:c r="G473" s="281" t="n">
        <x:v>12.948</x:v>
      </x:c>
      <x:c r="H473" s="281" t="n">
        <x:v>0.3652</x:v>
      </x:c>
      <x:c r="I473" s="281" t="n">
        <x:f>F473*'Assumptions'!$B$7*(1+'Assumptions'!$B$9)</x:f>
        <x:v>4.56528</x:v>
      </x:c>
      <x:c r="J473" s="281" t="n">
        <x:f>F473*('Assumptions'!$B$7+'Assumptions'!$B$8)*(1+'Assumptions'!$B$9)</x:f>
        <x:v>13.695839999999999</x:v>
      </x:c>
      <x:c r="K473" s="296" t="n">
        <x:f>MAX(0,ROUNDUP(J473-E473,0))</x:f>
        <x:v>6</x:v>
      </x:c>
      <x:c r="L473" s="298" t="n">
        <x:f>IF(F473=0,"",E473/F473)</x:f>
        <x:v>4.205656608137946</x:v>
      </x:c>
      <x:c r="M473" s="279" t="str">
        <x:f>IF(F473=0,IF(E473&gt;0,"No recent demand","No demand / no stock"),IF(E473&lt;=I473,"Order now",IF(L473&lt;='Assumptions'!$B$8,"Review soon","Sufficient stock")))</x:f>
        <x:v>Sufficient stock</x:v>
      </x:c>
      <x:c r="N473" s="300" t="n">
        <x:f>K473*H473</x:f>
        <x:v>2.1912000000000003</x:v>
      </x:c>
    </x:row>
    <x:row r="474" ht="16.5" customHeight="1">
      <x:c r="A474" s="290" t="str">
        <x:v>SKU1322</x:v>
      </x:c>
      <x:c r="B474" s="291" t="str">
        <x:v>Product 1322</x:v>
      </x:c>
      <x:c r="C474" s="291" t="str">
        <x:v>Store A</x:v>
      </x:c>
      <x:c r="D474" s="291" t="str">
        <x:v>Supplier 03</x:v>
      </x:c>
      <x:c r="E474" s="292" t="n">
        <x:v>0</x:v>
      </x:c>
      <x:c r="F474" s="292" t="n">
        <x:v>1.9022</x:v>
      </x:c>
      <x:c r="G474" s="293" t="n">
        <x:v>34.9928</x:v>
      </x:c>
      <x:c r="H474" s="293" t="n">
        <x:v>0</x:v>
      </x:c>
      <x:c r="I474" s="293" t="n">
        <x:f>F474*'Assumptions'!$B$7*(1+'Assumptions'!$B$9)</x:f>
        <x:v>4.56528</x:v>
      </x:c>
      <x:c r="J474" s="293" t="n">
        <x:f>F474*('Assumptions'!$B$7+'Assumptions'!$B$8)*(1+'Assumptions'!$B$9)</x:f>
        <x:v>13.695839999999999</x:v>
      </x:c>
      <x:c r="K474" s="295" t="n">
        <x:f>MAX(0,ROUNDUP(J474-E474,0))</x:f>
        <x:v>14</x:v>
      </x:c>
      <x:c r="L474" s="297" t="n">
        <x:f>IF(F474=0,"",E474/F474)</x:f>
        <x:v>0</x:v>
      </x:c>
      <x:c r="M474" s="291" t="str">
        <x:f>IF(F474=0,IF(E474&gt;0,"No recent demand","No demand / no stock"),IF(E474&lt;=I474,"Order now",IF(L474&lt;='Assumptions'!$B$8,"Review soon","Sufficient stock")))</x:f>
        <x:v>Order now</x:v>
      </x:c>
      <x:c r="N474" s="299" t="n">
        <x:f>K474*H474</x:f>
        <x:v>0</x:v>
      </x:c>
    </x:row>
    <x:row r="475" ht="16.5" customHeight="1">
      <x:c r="A475" s="278" t="str">
        <x:v>SKU1482</x:v>
      </x:c>
      <x:c r="B475" s="279" t="str">
        <x:v>Product 1482</x:v>
      </x:c>
      <x:c r="C475" s="279" t="str">
        <x:v>Store C</x:v>
      </x:c>
      <x:c r="D475" s="279" t="str">
        <x:v>Supplier 24</x:v>
      </x:c>
      <x:c r="E475" s="280" t="n">
        <x:v>9</x:v>
      </x:c>
      <x:c r="F475" s="280" t="n">
        <x:v>1.9022</x:v>
      </x:c>
      <x:c r="G475" s="281" t="n">
        <x:v>31.125</x:v>
      </x:c>
      <x:c r="H475" s="281" t="n">
        <x:v>0.5312</x:v>
      </x:c>
      <x:c r="I475" s="281" t="n">
        <x:f>F475*'Assumptions'!$B$7*(1+'Assumptions'!$B$9)</x:f>
        <x:v>4.56528</x:v>
      </x:c>
      <x:c r="J475" s="281" t="n">
        <x:f>F475*('Assumptions'!$B$7+'Assumptions'!$B$8)*(1+'Assumptions'!$B$9)</x:f>
        <x:v>13.695839999999999</x:v>
      </x:c>
      <x:c r="K475" s="296" t="n">
        <x:f>MAX(0,ROUNDUP(J475-E475,0))</x:f>
        <x:v>5</x:v>
      </x:c>
      <x:c r="L475" s="298" t="n">
        <x:f>IF(F475=0,"",E475/F475)</x:f>
        <x:v>4.731363684155189</x:v>
      </x:c>
      <x:c r="M475" s="279" t="str">
        <x:f>IF(F475=0,IF(E475&gt;0,"No recent demand","No demand / no stock"),IF(E475&lt;=I475,"Order now",IF(L475&lt;='Assumptions'!$B$8,"Review soon","Sufficient stock")))</x:f>
        <x:v>Sufficient stock</x:v>
      </x:c>
      <x:c r="N475" s="300" t="n">
        <x:f>K475*H475</x:f>
        <x:v>2.656</x:v>
      </x:c>
    </x:row>
    <x:row r="476" ht="16.5" customHeight="1">
      <x:c r="A476" s="290" t="str">
        <x:v>SKU1648</x:v>
      </x:c>
      <x:c r="B476" s="291" t="str">
        <x:v>Product 1648</x:v>
      </x:c>
      <x:c r="C476" s="291" t="str">
        <x:v>Store C</x:v>
      </x:c>
      <x:c r="D476" s="291" t="str">
        <x:v>Supplier 75</x:v>
      </x:c>
      <x:c r="E476" s="292" t="n">
        <x:v>13</x:v>
      </x:c>
      <x:c r="F476" s="292" t="n">
        <x:v>1.9022</x:v>
      </x:c>
      <x:c r="G476" s="293" t="n">
        <x:v>42.0312</x:v>
      </x:c>
      <x:c r="H476" s="293" t="n">
        <x:v>1.1538</x:v>
      </x:c>
      <x:c r="I476" s="293" t="n">
        <x:f>F476*'Assumptions'!$B$7*(1+'Assumptions'!$B$9)</x:f>
        <x:v>4.56528</x:v>
      </x:c>
      <x:c r="J476" s="293" t="n">
        <x:f>F476*('Assumptions'!$B$7+'Assumptions'!$B$8)*(1+'Assumptions'!$B$9)</x:f>
        <x:v>13.695839999999999</x:v>
      </x:c>
      <x:c r="K476" s="295" t="n">
        <x:f>MAX(0,ROUNDUP(J476-E476,0))</x:f>
        <x:v>1</x:v>
      </x:c>
      <x:c r="L476" s="297" t="n">
        <x:f>IF(F476=0,"",E476/F476)</x:f>
        <x:v>6.834191988224162</x:v>
      </x:c>
      <x:c r="M476" s="291" t="str">
        <x:f>IF(F476=0,IF(E476&gt;0,"No recent demand","No demand / no stock"),IF(E476&lt;=I476,"Order now",IF(L476&lt;='Assumptions'!$B$8,"Review soon","Sufficient stock")))</x:f>
        <x:v>Sufficient stock</x:v>
      </x:c>
      <x:c r="N476" s="299" t="n">
        <x:f>K476*H476</x:f>
        <x:v>1.1538</x:v>
      </x:c>
    </x:row>
    <x:row r="477" ht="16.5" customHeight="1">
      <x:c r="A477" s="278" t="str">
        <x:v>SKU1743</x:v>
      </x:c>
      <x:c r="B477" s="279" t="str">
        <x:v>Product 1743</x:v>
      </x:c>
      <x:c r="C477" s="279" t="str">
        <x:v>Store B</x:v>
      </x:c>
      <x:c r="D477" s="279" t="str">
        <x:v>Supplier 43</x:v>
      </x:c>
      <x:c r="E477" s="280" t="n">
        <x:v>6</x:v>
      </x:c>
      <x:c r="F477" s="280" t="n">
        <x:v>1.9022</x:v>
      </x:c>
      <x:c r="G477" s="281" t="n">
        <x:v>2.075</x:v>
      </x:c>
      <x:c r="H477" s="281" t="n">
        <x:v>0.083</x:v>
      </x:c>
      <x:c r="I477" s="281" t="n">
        <x:f>F477*'Assumptions'!$B$7*(1+'Assumptions'!$B$9)</x:f>
        <x:v>4.56528</x:v>
      </x:c>
      <x:c r="J477" s="281" t="n">
        <x:f>F477*('Assumptions'!$B$7+'Assumptions'!$B$8)*(1+'Assumptions'!$B$9)</x:f>
        <x:v>13.695839999999999</x:v>
      </x:c>
      <x:c r="K477" s="296" t="n">
        <x:f>MAX(0,ROUNDUP(J477-E477,0))</x:f>
        <x:v>8</x:v>
      </x:c>
      <x:c r="L477" s="298" t="n">
        <x:f>IF(F477=0,"",E477/F477)</x:f>
        <x:v>3.1542424561034594</x:v>
      </x:c>
      <x:c r="M477" s="279" t="str">
        <x:f>IF(F477=0,IF(E477&gt;0,"No recent demand","No demand / no stock"),IF(E477&lt;=I477,"Order now",IF(L477&lt;='Assumptions'!$B$8,"Review soon","Sufficient stock")))</x:f>
        <x:v>Review soon</x:v>
      </x:c>
      <x:c r="N477" s="300" t="n">
        <x:f>K477*H477</x:f>
        <x:v>0.664</x:v>
      </x:c>
    </x:row>
    <x:row r="478" ht="16.5" customHeight="1">
      <x:c r="A478" s="290" t="str">
        <x:v>SKU0064</x:v>
      </x:c>
      <x:c r="B478" s="291" t="str">
        <x:v>Product 0064</x:v>
      </x:c>
      <x:c r="C478" s="291" t="str">
        <x:v>Store A</x:v>
      </x:c>
      <x:c r="D478" s="291" t="str">
        <x:v>Supplier 68</x:v>
      </x:c>
      <x:c r="E478" s="292" t="n">
        <x:v>0</x:v>
      </x:c>
      <x:c r="F478" s="292" t="n">
        <x:v>1.8261</x:v>
      </x:c>
      <x:c r="G478" s="293" t="n">
        <x:v>20.9077</x:v>
      </x:c>
      <x:c r="H478" s="293" t="n">
        <x:v>0.3737</x:v>
      </x:c>
      <x:c r="I478" s="293" t="n">
        <x:f>F478*'Assumptions'!$B$7*(1+'Assumptions'!$B$9)</x:f>
        <x:v>4.38264</x:v>
      </x:c>
      <x:c r="J478" s="293" t="n">
        <x:f>F478*('Assumptions'!$B$7+'Assumptions'!$B$8)*(1+'Assumptions'!$B$9)</x:f>
        <x:v>13.14792</x:v>
      </x:c>
      <x:c r="K478" s="295" t="n">
        <x:f>MAX(0,ROUNDUP(J478-E478,0))</x:f>
        <x:v>14</x:v>
      </x:c>
      <x:c r="L478" s="297" t="n">
        <x:f>IF(F478=0,"",E478/F478)</x:f>
        <x:v>0</x:v>
      </x:c>
      <x:c r="M478" s="291" t="str">
        <x:f>IF(F478=0,IF(E478&gt;0,"No recent demand","No demand / no stock"),IF(E478&lt;=I478,"Order now",IF(L478&lt;='Assumptions'!$B$8,"Review soon","Sufficient stock")))</x:f>
        <x:v>Order now</x:v>
      </x:c>
      <x:c r="N478" s="299" t="n">
        <x:f>K478*H478</x:f>
        <x:v>5.2318</x:v>
      </x:c>
    </x:row>
    <x:row r="479" ht="16.5" customHeight="1">
      <x:c r="A479" s="278" t="str">
        <x:v>SKU0260</x:v>
      </x:c>
      <x:c r="B479" s="279" t="str">
        <x:v>Product 0260</x:v>
      </x:c>
      <x:c r="C479" s="279" t="str">
        <x:v>Store A</x:v>
      </x:c>
      <x:c r="D479" s="279" t="str">
        <x:v>Supplier 02</x:v>
      </x:c>
      <x:c r="E479" s="280" t="n">
        <x:v>12</x:v>
      </x:c>
      <x:c r="F479" s="280" t="n">
        <x:v>1.8261</x:v>
      </x:c>
      <x:c r="G479" s="281" t="n">
        <x:v>42.911</x:v>
      </x:c>
      <x:c r="H479" s="281" t="n">
        <x:v>0.7171</x:v>
      </x:c>
      <x:c r="I479" s="281" t="n">
        <x:f>F479*'Assumptions'!$B$7*(1+'Assumptions'!$B$9)</x:f>
        <x:v>4.38264</x:v>
      </x:c>
      <x:c r="J479" s="281" t="n">
        <x:f>F479*('Assumptions'!$B$7+'Assumptions'!$B$8)*(1+'Assumptions'!$B$9)</x:f>
        <x:v>13.14792</x:v>
      </x:c>
      <x:c r="K479" s="296" t="n">
        <x:f>MAX(0,ROUNDUP(J479-E479,0))</x:f>
        <x:v>2</x:v>
      </x:c>
      <x:c r="L479" s="298" t="n">
        <x:f>IF(F479=0,"",E479/F479)</x:f>
        <x:v>6.571381632988335</x:v>
      </x:c>
      <x:c r="M479" s="279" t="str">
        <x:f>IF(F479=0,IF(E479&gt;0,"No recent demand","No demand / no stock"),IF(E479&lt;=I479,"Order now",IF(L479&lt;='Assumptions'!$B$8,"Review soon","Sufficient stock")))</x:f>
        <x:v>Sufficient stock</x:v>
      </x:c>
      <x:c r="N479" s="300" t="n">
        <x:f>K479*H479</x:f>
        <x:v>1.4342</x:v>
      </x:c>
    </x:row>
    <x:row r="480" ht="16.5" customHeight="1">
      <x:c r="A480" s="290" t="str">
        <x:v>SKU0851</x:v>
      </x:c>
      <x:c r="B480" s="291" t="str">
        <x:v>Product 0851</x:v>
      </x:c>
      <x:c r="C480" s="291" t="str">
        <x:v>Store A</x:v>
      </x:c>
      <x:c r="D480" s="291" t="str">
        <x:v>Supplier 43</x:v>
      </x:c>
      <x:c r="E480" s="292" t="n">
        <x:v>0</x:v>
      </x:c>
      <x:c r="F480" s="292" t="n">
        <x:v>1.8261</x:v>
      </x:c>
      <x:c r="G480" s="293" t="n">
        <x:v>9.8023</x:v>
      </x:c>
      <x:c r="H480" s="293" t="n">
        <x:v>0.2742</x:v>
      </x:c>
      <x:c r="I480" s="293" t="n">
        <x:f>F480*'Assumptions'!$B$7*(1+'Assumptions'!$B$9)</x:f>
        <x:v>4.38264</x:v>
      </x:c>
      <x:c r="J480" s="293" t="n">
        <x:f>F480*('Assumptions'!$B$7+'Assumptions'!$B$8)*(1+'Assumptions'!$B$9)</x:f>
        <x:v>13.14792</x:v>
      </x:c>
      <x:c r="K480" s="295" t="n">
        <x:f>MAX(0,ROUNDUP(J480-E480,0))</x:f>
        <x:v>14</x:v>
      </x:c>
      <x:c r="L480" s="297" t="n">
        <x:f>IF(F480=0,"",E480/F480)</x:f>
        <x:v>0</x:v>
      </x:c>
      <x:c r="M480" s="291" t="str">
        <x:f>IF(F480=0,IF(E480&gt;0,"No recent demand","No demand / no stock"),IF(E480&lt;=I480,"Order now",IF(L480&lt;='Assumptions'!$B$8,"Review soon","Sufficient stock")))</x:f>
        <x:v>Order now</x:v>
      </x:c>
      <x:c r="N480" s="299" t="n">
        <x:f>K480*H480</x:f>
        <x:v>3.8388</x:v>
      </x:c>
    </x:row>
    <x:row r="481" ht="16.5" customHeight="1">
      <x:c r="A481" s="278" t="str">
        <x:v>SKU0892</x:v>
      </x:c>
      <x:c r="B481" s="279" t="str">
        <x:v>Product 0892</x:v>
      </x:c>
      <x:c r="C481" s="279" t="str">
        <x:v>Store A</x:v>
      </x:c>
      <x:c r="D481" s="279" t="str">
        <x:v>Supplier 02</x:v>
      </x:c>
      <x:c r="E481" s="280" t="n">
        <x:v>0</x:v>
      </x:c>
      <x:c r="F481" s="280" t="n">
        <x:v>1.8261</x:v>
      </x:c>
      <x:c r="G481" s="281" t="n">
        <x:v>31.208</x:v>
      </x:c>
      <x:c r="H481" s="281" t="n">
        <x:v>0.3959</x:v>
      </x:c>
      <x:c r="I481" s="281" t="n">
        <x:f>F481*'Assumptions'!$B$7*(1+'Assumptions'!$B$9)</x:f>
        <x:v>4.38264</x:v>
      </x:c>
      <x:c r="J481" s="281" t="n">
        <x:f>F481*('Assumptions'!$B$7+'Assumptions'!$B$8)*(1+'Assumptions'!$B$9)</x:f>
        <x:v>13.14792</x:v>
      </x:c>
      <x:c r="K481" s="296" t="n">
        <x:f>MAX(0,ROUNDUP(J481-E481,0))</x:f>
        <x:v>14</x:v>
      </x:c>
      <x:c r="L481" s="298" t="n">
        <x:f>IF(F481=0,"",E481/F481)</x:f>
        <x:v>0</x:v>
      </x:c>
      <x:c r="M481" s="279" t="str">
        <x:f>IF(F481=0,IF(E481&gt;0,"No recent demand","No demand / no stock"),IF(E481&lt;=I481,"Order now",IF(L481&lt;='Assumptions'!$B$8,"Review soon","Sufficient stock")))</x:f>
        <x:v>Order now</x:v>
      </x:c>
      <x:c r="N481" s="300" t="n">
        <x:f>K481*H481</x:f>
        <x:v>5.542599999999999</x:v>
      </x:c>
    </x:row>
    <x:row r="482" ht="16.5" customHeight="1">
      <x:c r="A482" s="290" t="str">
        <x:v>SKU0892</x:v>
      </x:c>
      <x:c r="B482" s="291" t="str">
        <x:v>Product 0892</x:v>
      </x:c>
      <x:c r="C482" s="291" t="str">
        <x:v>Store C</x:v>
      </x:c>
      <x:c r="D482" s="291" t="str">
        <x:v>Supplier 02</x:v>
      </x:c>
      <x:c r="E482" s="292" t="n">
        <x:v>0</x:v>
      </x:c>
      <x:c r="F482" s="292" t="n">
        <x:v>1.8261</x:v>
      </x:c>
      <x:c r="G482" s="293" t="n">
        <x:v>31.6064</x:v>
      </x:c>
      <x:c r="H482" s="293" t="n">
        <x:v>0.3959</x:v>
      </x:c>
      <x:c r="I482" s="293" t="n">
        <x:f>F482*'Assumptions'!$B$7*(1+'Assumptions'!$B$9)</x:f>
        <x:v>4.38264</x:v>
      </x:c>
      <x:c r="J482" s="293" t="n">
        <x:f>F482*('Assumptions'!$B$7+'Assumptions'!$B$8)*(1+'Assumptions'!$B$9)</x:f>
        <x:v>13.14792</x:v>
      </x:c>
      <x:c r="K482" s="295" t="n">
        <x:f>MAX(0,ROUNDUP(J482-E482,0))</x:f>
        <x:v>14</x:v>
      </x:c>
      <x:c r="L482" s="297" t="n">
        <x:f>IF(F482=0,"",E482/F482)</x:f>
        <x:v>0</x:v>
      </x:c>
      <x:c r="M482" s="291" t="str">
        <x:f>IF(F482=0,IF(E482&gt;0,"No recent demand","No demand / no stock"),IF(E482&lt;=I482,"Order now",IF(L482&lt;='Assumptions'!$B$8,"Review soon","Sufficient stock")))</x:f>
        <x:v>Order now</x:v>
      </x:c>
      <x:c r="N482" s="299" t="n">
        <x:f>K482*H482</x:f>
        <x:v>5.542599999999999</x:v>
      </x:c>
    </x:row>
    <x:row r="483" ht="16.5" customHeight="1">
      <x:c r="A483" s="278" t="str">
        <x:v>SKU0980</x:v>
      </x:c>
      <x:c r="B483" s="279" t="str">
        <x:v>Product 0980</x:v>
      </x:c>
      <x:c r="C483" s="279" t="str">
        <x:v>Store B</x:v>
      </x:c>
      <x:c r="D483" s="279" t="str">
        <x:v>Supplier 22</x:v>
      </x:c>
      <x:c r="E483" s="280" t="n">
        <x:v>0</x:v>
      </x:c>
      <x:c r="F483" s="280" t="n">
        <x:v>1.8261</x:v>
      </x:c>
      <x:c r="G483" s="281" t="n">
        <x:v>9.3375</x:v>
      </x:c>
      <x:c r="H483" s="281" t="n">
        <x:v>0.3071</x:v>
      </x:c>
      <x:c r="I483" s="281" t="n">
        <x:f>F483*'Assumptions'!$B$7*(1+'Assumptions'!$B$9)</x:f>
        <x:v>4.38264</x:v>
      </x:c>
      <x:c r="J483" s="281" t="n">
        <x:f>F483*('Assumptions'!$B$7+'Assumptions'!$B$8)*(1+'Assumptions'!$B$9)</x:f>
        <x:v>13.14792</x:v>
      </x:c>
      <x:c r="K483" s="296" t="n">
        <x:f>MAX(0,ROUNDUP(J483-E483,0))</x:f>
        <x:v>14</x:v>
      </x:c>
      <x:c r="L483" s="298" t="n">
        <x:f>IF(F483=0,"",E483/F483)</x:f>
        <x:v>0</x:v>
      </x:c>
      <x:c r="M483" s="279" t="str">
        <x:f>IF(F483=0,IF(E483&gt;0,"No recent demand","No demand / no stock"),IF(E483&lt;=I483,"Order now",IF(L483&lt;='Assumptions'!$B$8,"Review soon","Sufficient stock")))</x:f>
        <x:v>Order now</x:v>
      </x:c>
      <x:c r="N483" s="300" t="n">
        <x:f>K483*H483</x:f>
        <x:v>4.2993999999999994</x:v>
      </x:c>
    </x:row>
    <x:row r="484" ht="16.5" customHeight="1">
      <x:c r="A484" s="290" t="str">
        <x:v>SKU1000</x:v>
      </x:c>
      <x:c r="B484" s="291" t="str">
        <x:v>Product 1000</x:v>
      </x:c>
      <x:c r="C484" s="291" t="str">
        <x:v>Store A</x:v>
      </x:c>
      <x:c r="D484" s="291" t="str">
        <x:v>Supplier 22</x:v>
      </x:c>
      <x:c r="E484" s="292" t="n">
        <x:v>3</x:v>
      </x:c>
      <x:c r="F484" s="292" t="n">
        <x:v>1.8261</x:v>
      </x:c>
      <x:c r="G484" s="293" t="n">
        <x:v>15.4712</x:v>
      </x:c>
      <x:c r="H484" s="293" t="n">
        <x:v>0.249</x:v>
      </x:c>
      <x:c r="I484" s="293" t="n">
        <x:f>F484*'Assumptions'!$B$7*(1+'Assumptions'!$B$9)</x:f>
        <x:v>4.38264</x:v>
      </x:c>
      <x:c r="J484" s="293" t="n">
        <x:f>F484*('Assumptions'!$B$7+'Assumptions'!$B$8)*(1+'Assumptions'!$B$9)</x:f>
        <x:v>13.14792</x:v>
      </x:c>
      <x:c r="K484" s="295" t="n">
        <x:f>MAX(0,ROUNDUP(J484-E484,0))</x:f>
        <x:v>11</x:v>
      </x:c>
      <x:c r="L484" s="297" t="n">
        <x:f>IF(F484=0,"",E484/F484)</x:f>
        <x:v>1.6428454082470838</x:v>
      </x:c>
      <x:c r="M484" s="291" t="str">
        <x:f>IF(F484=0,IF(E484&gt;0,"No recent demand","No demand / no stock"),IF(E484&lt;=I484,"Order now",IF(L484&lt;='Assumptions'!$B$8,"Review soon","Sufficient stock")))</x:f>
        <x:v>Order now</x:v>
      </x:c>
      <x:c r="N484" s="299" t="n">
        <x:f>K484*H484</x:f>
        <x:v>2.739</x:v>
      </x:c>
    </x:row>
    <x:row r="485" ht="16.5" customHeight="1">
      <x:c r="A485" s="278" t="str">
        <x:v>SKU1001</x:v>
      </x:c>
      <x:c r="B485" s="279" t="str">
        <x:v>Product 1001</x:v>
      </x:c>
      <x:c r="C485" s="279" t="str">
        <x:v>Store A</x:v>
      </x:c>
      <x:c r="D485" s="279" t="str">
        <x:v>Supplier 19</x:v>
      </x:c>
      <x:c r="E485" s="280" t="n">
        <x:v>18</x:v>
      </x:c>
      <x:c r="F485" s="280" t="n">
        <x:v>1.8261</x:v>
      </x:c>
      <x:c r="G485" s="281" t="n">
        <x:v>13.5373</x:v>
      </x:c>
      <x:c r="H485" s="281" t="n">
        <x:v>0.2075</x:v>
      </x:c>
      <x:c r="I485" s="281" t="n">
        <x:f>F485*'Assumptions'!$B$7*(1+'Assumptions'!$B$9)</x:f>
        <x:v>4.38264</x:v>
      </x:c>
      <x:c r="J485" s="281" t="n">
        <x:f>F485*('Assumptions'!$B$7+'Assumptions'!$B$8)*(1+'Assumptions'!$B$9)</x:f>
        <x:v>13.14792</x:v>
      </x:c>
      <x:c r="K485" s="296" t="n">
        <x:f>MAX(0,ROUNDUP(J485-E485,0))</x:f>
        <x:v>0</x:v>
      </x:c>
      <x:c r="L485" s="298" t="n">
        <x:f>IF(F485=0,"",E485/F485)</x:f>
        <x:v>9.857072449482503</x:v>
      </x:c>
      <x:c r="M485" s="279" t="str">
        <x:f>IF(F485=0,IF(E485&gt;0,"No recent demand","No demand / no stock"),IF(E485&lt;=I485,"Order now",IF(L485&lt;='Assumptions'!$B$8,"Review soon","Sufficient stock")))</x:f>
        <x:v>Sufficient stock</x:v>
      </x:c>
      <x:c r="N485" s="300" t="n">
        <x:f>K485*H485</x:f>
        <x:v>0</x:v>
      </x:c>
    </x:row>
    <x:row r="486" ht="16.5" customHeight="1">
      <x:c r="A486" s="290" t="str">
        <x:v>SKU1009</x:v>
      </x:c>
      <x:c r="B486" s="291" t="str">
        <x:v>Product 1009</x:v>
      </x:c>
      <x:c r="C486" s="291" t="str">
        <x:v>Store C</x:v>
      </x:c>
      <x:c r="D486" s="291" t="str">
        <x:v>Supplier 03</x:v>
      </x:c>
      <x:c r="E486" s="292" t="n">
        <x:v>27</x:v>
      </x:c>
      <x:c r="F486" s="292" t="n">
        <x:v>1.8261</x:v>
      </x:c>
      <x:c r="G486" s="293" t="n">
        <x:v>31.5234</x:v>
      </x:c>
      <x:c r="H486" s="293" t="n">
        <x:v>0.4648</x:v>
      </x:c>
      <x:c r="I486" s="293" t="n">
        <x:f>F486*'Assumptions'!$B$7*(1+'Assumptions'!$B$9)</x:f>
        <x:v>4.38264</x:v>
      </x:c>
      <x:c r="J486" s="293" t="n">
        <x:f>F486*('Assumptions'!$B$7+'Assumptions'!$B$8)*(1+'Assumptions'!$B$9)</x:f>
        <x:v>13.14792</x:v>
      </x:c>
      <x:c r="K486" s="295" t="n">
        <x:f>MAX(0,ROUNDUP(J486-E486,0))</x:f>
        <x:v>0</x:v>
      </x:c>
      <x:c r="L486" s="297" t="n">
        <x:f>IF(F486=0,"",E486/F486)</x:f>
        <x:v>14.785608674223756</x:v>
      </x:c>
      <x:c r="M486" s="291" t="str">
        <x:f>IF(F486=0,IF(E486&gt;0,"No recent demand","No demand / no stock"),IF(E486&lt;=I486,"Order now",IF(L486&lt;='Assumptions'!$B$8,"Review soon","Sufficient stock")))</x:f>
        <x:v>Sufficient stock</x:v>
      </x:c>
      <x:c r="N486" s="299" t="n">
        <x:f>K486*H486</x:f>
        <x:v>0</x:v>
      </x:c>
    </x:row>
    <x:row r="487" ht="16.5" customHeight="1">
      <x:c r="A487" s="278" t="str">
        <x:v>SKU1070</x:v>
      </x:c>
      <x:c r="B487" s="279" t="str">
        <x:v>Product 1070</x:v>
      </x:c>
      <x:c r="C487" s="279" t="str">
        <x:v>Store A</x:v>
      </x:c>
      <x:c r="D487" s="279" t="str">
        <x:v>Supplier 02</x:v>
      </x:c>
      <x:c r="E487" s="280" t="n">
        <x:v>37</x:v>
      </x:c>
      <x:c r="F487" s="280" t="n">
        <x:v>1.8261</x:v>
      </x:c>
      <x:c r="G487" s="281" t="n">
        <x:v>31.3408</x:v>
      </x:c>
      <x:c r="H487" s="281" t="n">
        <x:v>0.406</x:v>
      </x:c>
      <x:c r="I487" s="281" t="n">
        <x:f>F487*'Assumptions'!$B$7*(1+'Assumptions'!$B$9)</x:f>
        <x:v>4.38264</x:v>
      </x:c>
      <x:c r="J487" s="281" t="n">
        <x:f>F487*('Assumptions'!$B$7+'Assumptions'!$B$8)*(1+'Assumptions'!$B$9)</x:f>
        <x:v>13.14792</x:v>
      </x:c>
      <x:c r="K487" s="296" t="n">
        <x:f>MAX(0,ROUNDUP(J487-E487,0))</x:f>
        <x:v>0</x:v>
      </x:c>
      <x:c r="L487" s="298" t="n">
        <x:f>IF(F487=0,"",E487/F487)</x:f>
        <x:v>20.261760035047367</x:v>
      </x:c>
      <x:c r="M487" s="279" t="str">
        <x:f>IF(F487=0,IF(E487&gt;0,"No recent demand","No demand / no stock"),IF(E487&lt;=I487,"Order now",IF(L487&lt;='Assumptions'!$B$8,"Review soon","Sufficient stock")))</x:f>
        <x:v>Sufficient stock</x:v>
      </x:c>
      <x:c r="N487" s="300" t="n">
        <x:f>K487*H487</x:f>
        <x:v>0</x:v>
      </x:c>
    </x:row>
    <x:row r="488" ht="16.5" customHeight="1">
      <x:c r="A488" s="290" t="str">
        <x:v>SKU1070</x:v>
      </x:c>
      <x:c r="B488" s="291" t="str">
        <x:v>Product 1070</x:v>
      </x:c>
      <x:c r="C488" s="291" t="str">
        <x:v>Store B</x:v>
      </x:c>
      <x:c r="D488" s="291" t="str">
        <x:v>Supplier 02</x:v>
      </x:c>
      <x:c r="E488" s="292" t="n">
        <x:v>20</x:v>
      </x:c>
      <x:c r="F488" s="292" t="n">
        <x:v>1.8261</x:v>
      </x:c>
      <x:c r="G488" s="293" t="n">
        <x:v>31.0752</x:v>
      </x:c>
      <x:c r="H488" s="293" t="n">
        <x:v>0.4059</x:v>
      </x:c>
      <x:c r="I488" s="293" t="n">
        <x:f>F488*'Assumptions'!$B$7*(1+'Assumptions'!$B$9)</x:f>
        <x:v>4.38264</x:v>
      </x:c>
      <x:c r="J488" s="293" t="n">
        <x:f>F488*('Assumptions'!$B$7+'Assumptions'!$B$8)*(1+'Assumptions'!$B$9)</x:f>
        <x:v>13.14792</x:v>
      </x:c>
      <x:c r="K488" s="295" t="n">
        <x:f>MAX(0,ROUNDUP(J488-E488,0))</x:f>
        <x:v>0</x:v>
      </x:c>
      <x:c r="L488" s="297" t="n">
        <x:f>IF(F488=0,"",E488/F488)</x:f>
        <x:v>10.952302721647227</x:v>
      </x:c>
      <x:c r="M488" s="291" t="str">
        <x:f>IF(F488=0,IF(E488&gt;0,"No recent demand","No demand / no stock"),IF(E488&lt;=I488,"Order now",IF(L488&lt;='Assumptions'!$B$8,"Review soon","Sufficient stock")))</x:f>
        <x:v>Sufficient stock</x:v>
      </x:c>
      <x:c r="N488" s="299" t="n">
        <x:f>K488*H488</x:f>
        <x:v>0</x:v>
      </x:c>
    </x:row>
    <x:row r="489" ht="16.5" customHeight="1">
      <x:c r="A489" s="278" t="str">
        <x:v>SKU1215</x:v>
      </x:c>
      <x:c r="B489" s="279" t="str">
        <x:v>Product 1215</x:v>
      </x:c>
      <x:c r="C489" s="279" t="str">
        <x:v>Store C</x:v>
      </x:c>
      <x:c r="D489" s="279" t="str">
        <x:v>Supplier 43</x:v>
      </x:c>
      <x:c r="E489" s="280" t="n">
        <x:v>0</x:v>
      </x:c>
      <x:c r="F489" s="280" t="n">
        <x:v>1.8261</x:v>
      </x:c>
      <x:c r="G489" s="281" t="n">
        <x:v>21.7294</x:v>
      </x:c>
      <x:c r="H489" s="281" t="n">
        <x:v>0.4233</x:v>
      </x:c>
      <x:c r="I489" s="281" t="n">
        <x:f>F489*'Assumptions'!$B$7*(1+'Assumptions'!$B$9)</x:f>
        <x:v>4.38264</x:v>
      </x:c>
      <x:c r="J489" s="281" t="n">
        <x:f>F489*('Assumptions'!$B$7+'Assumptions'!$B$8)*(1+'Assumptions'!$B$9)</x:f>
        <x:v>13.14792</x:v>
      </x:c>
      <x:c r="K489" s="296" t="n">
        <x:f>MAX(0,ROUNDUP(J489-E489,0))</x:f>
        <x:v>14</x:v>
      </x:c>
      <x:c r="L489" s="298" t="n">
        <x:f>IF(F489=0,"",E489/F489)</x:f>
        <x:v>0</x:v>
      </x:c>
      <x:c r="M489" s="279" t="str">
        <x:f>IF(F489=0,IF(E489&gt;0,"No recent demand","No demand / no stock"),IF(E489&lt;=I489,"Order now",IF(L489&lt;='Assumptions'!$B$8,"Review soon","Sufficient stock")))</x:f>
        <x:v>Order now</x:v>
      </x:c>
      <x:c r="N489" s="300" t="n">
        <x:f>K489*H489</x:f>
        <x:v>5.9262</x:v>
      </x:c>
    </x:row>
    <x:row r="490" ht="16.5" customHeight="1">
      <x:c r="A490" s="290" t="str">
        <x:v>SKU1402</x:v>
      </x:c>
      <x:c r="B490" s="291" t="str">
        <x:v>Product 1402</x:v>
      </x:c>
      <x:c r="C490" s="291" t="str">
        <x:v>Store B</x:v>
      </x:c>
      <x:c r="D490" s="291" t="str">
        <x:v>Supplier 24</x:v>
      </x:c>
      <x:c r="E490" s="292" t="n">
        <x:v>0</x:v>
      </x:c>
      <x:c r="F490" s="292" t="n">
        <x:v>1.8261</x:v>
      </x:c>
      <x:c r="G490" s="293" t="n">
        <x:v>11.786</x:v>
      </x:c>
      <x:c r="H490" s="293" t="n">
        <x:v>0.1494</x:v>
      </x:c>
      <x:c r="I490" s="293" t="n">
        <x:f>F490*'Assumptions'!$B$7*(1+'Assumptions'!$B$9)</x:f>
        <x:v>4.38264</x:v>
      </x:c>
      <x:c r="J490" s="293" t="n">
        <x:f>F490*('Assumptions'!$B$7+'Assumptions'!$B$8)*(1+'Assumptions'!$B$9)</x:f>
        <x:v>13.14792</x:v>
      </x:c>
      <x:c r="K490" s="295" t="n">
        <x:f>MAX(0,ROUNDUP(J490-E490,0))</x:f>
        <x:v>14</x:v>
      </x:c>
      <x:c r="L490" s="297" t="n">
        <x:f>IF(F490=0,"",E490/F490)</x:f>
        <x:v>0</x:v>
      </x:c>
      <x:c r="M490" s="291" t="str">
        <x:f>IF(F490=0,IF(E490&gt;0,"No recent demand","No demand / no stock"),IF(E490&lt;=I490,"Order now",IF(L490&lt;='Assumptions'!$B$8,"Review soon","Sufficient stock")))</x:f>
        <x:v>Order now</x:v>
      </x:c>
      <x:c r="N490" s="299" t="n">
        <x:f>K490*H490</x:f>
        <x:v>2.0916</x:v>
      </x:c>
    </x:row>
    <x:row r="491" ht="16.5" customHeight="1">
      <x:c r="A491" s="278" t="str">
        <x:v>SKU1419</x:v>
      </x:c>
      <x:c r="B491" s="279" t="str">
        <x:v>Product 1419</x:v>
      </x:c>
      <x:c r="C491" s="279" t="str">
        <x:v>Store C</x:v>
      </x:c>
      <x:c r="D491" s="279" t="str">
        <x:v>Supplier 24</x:v>
      </x:c>
      <x:c r="E491" s="280" t="n">
        <x:v>39</x:v>
      </x:c>
      <x:c r="F491" s="280" t="n">
        <x:v>1.8261</x:v>
      </x:c>
      <x:c r="G491" s="281" t="n">
        <x:v>15.8032</x:v>
      </x:c>
      <x:c r="H491" s="281" t="n">
        <x:v>0.3005</x:v>
      </x:c>
      <x:c r="I491" s="281" t="n">
        <x:f>F491*'Assumptions'!$B$7*(1+'Assumptions'!$B$9)</x:f>
        <x:v>4.38264</x:v>
      </x:c>
      <x:c r="J491" s="281" t="n">
        <x:f>F491*('Assumptions'!$B$7+'Assumptions'!$B$8)*(1+'Assumptions'!$B$9)</x:f>
        <x:v>13.14792</x:v>
      </x:c>
      <x:c r="K491" s="296" t="n">
        <x:f>MAX(0,ROUNDUP(J491-E491,0))</x:f>
        <x:v>0</x:v>
      </x:c>
      <x:c r="L491" s="298" t="n">
        <x:f>IF(F491=0,"",E491/F491)</x:f>
        <x:v>21.35699030721209</x:v>
      </x:c>
      <x:c r="M491" s="279" t="str">
        <x:f>IF(F491=0,IF(E491&gt;0,"No recent demand","No demand / no stock"),IF(E491&lt;=I491,"Order now",IF(L491&lt;='Assumptions'!$B$8,"Review soon","Sufficient stock")))</x:f>
        <x:v>Sufficient stock</x:v>
      </x:c>
      <x:c r="N491" s="300" t="n">
        <x:f>K491*H491</x:f>
        <x:v>0</x:v>
      </x:c>
    </x:row>
    <x:row r="492" ht="16.5" customHeight="1">
      <x:c r="A492" s="290" t="str">
        <x:v>SKU1510</x:v>
      </x:c>
      <x:c r="B492" s="291" t="str">
        <x:v>Product 1510</x:v>
      </x:c>
      <x:c r="C492" s="291" t="str">
        <x:v>Store C</x:v>
      </x:c>
      <x:c r="D492" s="291" t="str">
        <x:v>Supplier 24</x:v>
      </x:c>
      <x:c r="E492" s="292" t="n">
        <x:v>19</x:v>
      </x:c>
      <x:c r="F492" s="292" t="n">
        <x:v>1.8261</x:v>
      </x:c>
      <x:c r="G492" s="293" t="n">
        <x:v>19.505</x:v>
      </x:c>
      <x:c r="H492" s="293" t="n">
        <x:v>0.3818</x:v>
      </x:c>
      <x:c r="I492" s="293" t="n">
        <x:f>F492*'Assumptions'!$B$7*(1+'Assumptions'!$B$9)</x:f>
        <x:v>4.38264</x:v>
      </x:c>
      <x:c r="J492" s="293" t="n">
        <x:f>F492*('Assumptions'!$B$7+'Assumptions'!$B$8)*(1+'Assumptions'!$B$9)</x:f>
        <x:v>13.14792</x:v>
      </x:c>
      <x:c r="K492" s="295" t="n">
        <x:f>MAX(0,ROUNDUP(J492-E492,0))</x:f>
        <x:v>0</x:v>
      </x:c>
      <x:c r="L492" s="297" t="n">
        <x:f>IF(F492=0,"",E492/F492)</x:f>
        <x:v>10.404687585564865</x:v>
      </x:c>
      <x:c r="M492" s="291" t="str">
        <x:f>IF(F492=0,IF(E492&gt;0,"No recent demand","No demand / no stock"),IF(E492&lt;=I492,"Order now",IF(L492&lt;='Assumptions'!$B$8,"Review soon","Sufficient stock")))</x:f>
        <x:v>Sufficient stock</x:v>
      </x:c>
      <x:c r="N492" s="299" t="n">
        <x:f>K492*H492</x:f>
        <x:v>0</x:v>
      </x:c>
    </x:row>
    <x:row r="493" ht="16.5" customHeight="1">
      <x:c r="A493" s="278" t="str">
        <x:v>SKU1524</x:v>
      </x:c>
      <x:c r="B493" s="279" t="str">
        <x:v>Product 1524</x:v>
      </x:c>
      <x:c r="C493" s="279" t="str">
        <x:v>Store C</x:v>
      </x:c>
      <x:c r="D493" s="279" t="str">
        <x:v>Supplier 24</x:v>
      </x:c>
      <x:c r="E493" s="280" t="n">
        <x:v>29</x:v>
      </x:c>
      <x:c r="F493" s="280" t="n">
        <x:v>1.8261</x:v>
      </x:c>
      <x:c r="G493" s="281" t="n">
        <x:v>49.1775</x:v>
      </x:c>
      <x:c r="H493" s="281" t="n">
        <x:v>0.9296</x:v>
      </x:c>
      <x:c r="I493" s="281" t="n">
        <x:f>F493*'Assumptions'!$B$7*(1+'Assumptions'!$B$9)</x:f>
        <x:v>4.38264</x:v>
      </x:c>
      <x:c r="J493" s="281" t="n">
        <x:f>F493*('Assumptions'!$B$7+'Assumptions'!$B$8)*(1+'Assumptions'!$B$9)</x:f>
        <x:v>13.14792</x:v>
      </x:c>
      <x:c r="K493" s="296" t="n">
        <x:f>MAX(0,ROUNDUP(J493-E493,0))</x:f>
        <x:v>0</x:v>
      </x:c>
      <x:c r="L493" s="298" t="n">
        <x:f>IF(F493=0,"",E493/F493)</x:f>
        <x:v>15.880838946388478</x:v>
      </x:c>
      <x:c r="M493" s="279" t="str">
        <x:f>IF(F493=0,IF(E493&gt;0,"No recent demand","No demand / no stock"),IF(E493&lt;=I493,"Order now",IF(L493&lt;='Assumptions'!$B$8,"Review soon","Sufficient stock")))</x:f>
        <x:v>Sufficient stock</x:v>
      </x:c>
      <x:c r="N493" s="300" t="n">
        <x:f>K493*H493</x:f>
        <x:v>0</x:v>
      </x:c>
    </x:row>
    <x:row r="494" ht="16.5" customHeight="1">
      <x:c r="A494" s="290" t="str">
        <x:v>SKU1558</x:v>
      </x:c>
      <x:c r="B494" s="291" t="str">
        <x:v>Product 1558</x:v>
      </x:c>
      <x:c r="C494" s="291" t="str">
        <x:v>Store A</x:v>
      </x:c>
      <x:c r="D494" s="291" t="str">
        <x:v>Supplier 24</x:v>
      </x:c>
      <x:c r="E494" s="292" t="n">
        <x:v>0</x:v>
      </x:c>
      <x:c r="F494" s="292" t="n">
        <x:v>1.8261</x:v>
      </x:c>
      <x:c r="G494" s="293" t="n">
        <x:v>18.758</x:v>
      </x:c>
      <x:c r="H494" s="293" t="n">
        <x:v>0.3818</x:v>
      </x:c>
      <x:c r="I494" s="293" t="n">
        <x:f>F494*'Assumptions'!$B$7*(1+'Assumptions'!$B$9)</x:f>
        <x:v>4.38264</x:v>
      </x:c>
      <x:c r="J494" s="293" t="n">
        <x:f>F494*('Assumptions'!$B$7+'Assumptions'!$B$8)*(1+'Assumptions'!$B$9)</x:f>
        <x:v>13.14792</x:v>
      </x:c>
      <x:c r="K494" s="295" t="n">
        <x:f>MAX(0,ROUNDUP(J494-E494,0))</x:f>
        <x:v>14</x:v>
      </x:c>
      <x:c r="L494" s="297" t="n">
        <x:f>IF(F494=0,"",E494/F494)</x:f>
        <x:v>0</x:v>
      </x:c>
      <x:c r="M494" s="291" t="str">
        <x:f>IF(F494=0,IF(E494&gt;0,"No recent demand","No demand / no stock"),IF(E494&lt;=I494,"Order now",IF(L494&lt;='Assumptions'!$B$8,"Review soon","Sufficient stock")))</x:f>
        <x:v>Order now</x:v>
      </x:c>
      <x:c r="N494" s="299" t="n">
        <x:f>K494*H494</x:f>
        <x:v>5.345199999999999</x:v>
      </x:c>
    </x:row>
    <x:row r="495" ht="16.5" customHeight="1">
      <x:c r="A495" s="278" t="str">
        <x:v>SKU1607</x:v>
      </x:c>
      <x:c r="B495" s="279" t="str">
        <x:v>Product 1607</x:v>
      </x:c>
      <x:c r="C495" s="279" t="str">
        <x:v>Store B</x:v>
      </x:c>
      <x:c r="D495" s="279" t="str">
        <x:v>Supplier 07</x:v>
      </x:c>
      <x:c r="E495" s="280" t="n">
        <x:v>0</x:v>
      </x:c>
      <x:c r="F495" s="280" t="n">
        <x:v>1.8261</x:v>
      </x:c>
      <x:c r="G495" s="281" t="n">
        <x:v>30.9092</x:v>
      </x:c>
      <x:c r="H495" s="281" t="n">
        <x:v>0.6642</x:v>
      </x:c>
      <x:c r="I495" s="281" t="n">
        <x:f>F495*'Assumptions'!$B$7*(1+'Assumptions'!$B$9)</x:f>
        <x:v>4.38264</x:v>
      </x:c>
      <x:c r="J495" s="281" t="n">
        <x:f>F495*('Assumptions'!$B$7+'Assumptions'!$B$8)*(1+'Assumptions'!$B$9)</x:f>
        <x:v>13.14792</x:v>
      </x:c>
      <x:c r="K495" s="296" t="n">
        <x:f>MAX(0,ROUNDUP(J495-E495,0))</x:f>
        <x:v>14</x:v>
      </x:c>
      <x:c r="L495" s="298" t="n">
        <x:f>IF(F495=0,"",E495/F495)</x:f>
        <x:v>0</x:v>
      </x:c>
      <x:c r="M495" s="279" t="str">
        <x:f>IF(F495=0,IF(E495&gt;0,"No recent demand","No demand / no stock"),IF(E495&lt;=I495,"Order now",IF(L495&lt;='Assumptions'!$B$8,"Review soon","Sufficient stock")))</x:f>
        <x:v>Order now</x:v>
      </x:c>
      <x:c r="N495" s="300" t="n">
        <x:f>K495*H495</x:f>
        <x:v>9.2988</x:v>
      </x:c>
    </x:row>
    <x:row r="496" ht="16.5" customHeight="1">
      <x:c r="A496" s="290" t="str">
        <x:v>SKU1616</x:v>
      </x:c>
      <x:c r="B496" s="291" t="str">
        <x:v>Product 1616</x:v>
      </x:c>
      <x:c r="C496" s="291" t="str">
        <x:v>Store B</x:v>
      </x:c>
      <x:c r="D496" s="291" t="str">
        <x:v>Supplier 07</x:v>
      </x:c>
      <x:c r="E496" s="292" t="n">
        <x:v>3</x:v>
      </x:c>
      <x:c r="F496" s="292" t="n">
        <x:v>1.8261</x:v>
      </x:c>
      <x:c r="G496" s="293" t="n">
        <x:v>32.1708</x:v>
      </x:c>
      <x:c r="H496" s="293" t="n">
        <x:v>0.6641</x:v>
      </x:c>
      <x:c r="I496" s="293" t="n">
        <x:f>F496*'Assumptions'!$B$7*(1+'Assumptions'!$B$9)</x:f>
        <x:v>4.38264</x:v>
      </x:c>
      <x:c r="J496" s="293" t="n">
        <x:f>F496*('Assumptions'!$B$7+'Assumptions'!$B$8)*(1+'Assumptions'!$B$9)</x:f>
        <x:v>13.14792</x:v>
      </x:c>
      <x:c r="K496" s="295" t="n">
        <x:f>MAX(0,ROUNDUP(J496-E496,0))</x:f>
        <x:v>11</x:v>
      </x:c>
      <x:c r="L496" s="297" t="n">
        <x:f>IF(F496=0,"",E496/F496)</x:f>
        <x:v>1.6428454082470838</x:v>
      </x:c>
      <x:c r="M496" s="291" t="str">
        <x:f>IF(F496=0,IF(E496&gt;0,"No recent demand","No demand / no stock"),IF(E496&lt;=I496,"Order now",IF(L496&lt;='Assumptions'!$B$8,"Review soon","Sufficient stock")))</x:f>
        <x:v>Order now</x:v>
      </x:c>
      <x:c r="N496" s="299" t="n">
        <x:f>K496*H496</x:f>
        <x:v>7.3051</x:v>
      </x:c>
    </x:row>
    <x:row r="497" ht="16.5" customHeight="1">
      <x:c r="A497" s="278" t="str">
        <x:v>SKU1647</x:v>
      </x:c>
      <x:c r="B497" s="279" t="str">
        <x:v>Product 1647</x:v>
      </x:c>
      <x:c r="C497" s="279" t="str">
        <x:v>Store A</x:v>
      </x:c>
      <x:c r="D497" s="279" t="str">
        <x:v>Supplier 75</x:v>
      </x:c>
      <x:c r="E497" s="280" t="n">
        <x:v>36</x:v>
      </x:c>
      <x:c r="F497" s="280" t="n">
        <x:v>1.8261</x:v>
      </x:c>
      <x:c r="G497" s="281" t="n">
        <x:v>41.6079</x:v>
      </x:c>
      <x:c r="H497" s="281" t="n">
        <x:v>1.0458</x:v>
      </x:c>
      <x:c r="I497" s="281" t="n">
        <x:f>F497*'Assumptions'!$B$7*(1+'Assumptions'!$B$9)</x:f>
        <x:v>4.38264</x:v>
      </x:c>
      <x:c r="J497" s="281" t="n">
        <x:f>F497*('Assumptions'!$B$7+'Assumptions'!$B$8)*(1+'Assumptions'!$B$9)</x:f>
        <x:v>13.14792</x:v>
      </x:c>
      <x:c r="K497" s="296" t="n">
        <x:f>MAX(0,ROUNDUP(J497-E497,0))</x:f>
        <x:v>0</x:v>
      </x:c>
      <x:c r="L497" s="298" t="n">
        <x:f>IF(F497=0,"",E497/F497)</x:f>
        <x:v>19.714144898965007</x:v>
      </x:c>
      <x:c r="M497" s="279" t="str">
        <x:f>IF(F497=0,IF(E497&gt;0,"No recent demand","No demand / no stock"),IF(E497&lt;=I497,"Order now",IF(L497&lt;='Assumptions'!$B$8,"Review soon","Sufficient stock")))</x:f>
        <x:v>Sufficient stock</x:v>
      </x:c>
      <x:c r="N497" s="300" t="n">
        <x:f>K497*H497</x:f>
        <x:v>0</x:v>
      </x:c>
    </x:row>
    <x:row r="498" ht="16.5" customHeight="1">
      <x:c r="A498" s="290" t="str">
        <x:v>SKU1736</x:v>
      </x:c>
      <x:c r="B498" s="291" t="str">
        <x:v>Product 1736</x:v>
      </x:c>
      <x:c r="C498" s="291" t="str">
        <x:v>Store A</x:v>
      </x:c>
      <x:c r="D498" s="291" t="str">
        <x:v>Supplier 09</x:v>
      </x:c>
      <x:c r="E498" s="292" t="n">
        <x:v>21</x:v>
      </x:c>
      <x:c r="F498" s="292" t="n">
        <x:v>1.8261</x:v>
      </x:c>
      <x:c r="G498" s="293" t="n">
        <x:v>35.5572</x:v>
      </x:c>
      <x:c r="H498" s="293" t="n">
        <x:v>0.415</x:v>
      </x:c>
      <x:c r="I498" s="293" t="n">
        <x:f>F498*'Assumptions'!$B$7*(1+'Assumptions'!$B$9)</x:f>
        <x:v>4.38264</x:v>
      </x:c>
      <x:c r="J498" s="293" t="n">
        <x:f>F498*('Assumptions'!$B$7+'Assumptions'!$B$8)*(1+'Assumptions'!$B$9)</x:f>
        <x:v>13.14792</x:v>
      </x:c>
      <x:c r="K498" s="295" t="n">
        <x:f>MAX(0,ROUNDUP(J498-E498,0))</x:f>
        <x:v>0</x:v>
      </x:c>
      <x:c r="L498" s="297" t="n">
        <x:f>IF(F498=0,"",E498/F498)</x:f>
        <x:v>11.499917857729587</x:v>
      </x:c>
      <x:c r="M498" s="291" t="str">
        <x:f>IF(F498=0,IF(E498&gt;0,"No recent demand","No demand / no stock"),IF(E498&lt;=I498,"Order now",IF(L498&lt;='Assumptions'!$B$8,"Review soon","Sufficient stock")))</x:f>
        <x:v>Sufficient stock</x:v>
      </x:c>
      <x:c r="N498" s="299" t="n">
        <x:f>K498*H498</x:f>
        <x:v>0</x:v>
      </x:c>
    </x:row>
    <x:row r="499" ht="16.5" customHeight="1">
      <x:c r="A499" s="278" t="str">
        <x:v>SKU0008</x:v>
      </x:c>
      <x:c r="B499" s="279" t="str">
        <x:v>Product 0008</x:v>
      </x:c>
      <x:c r="C499" s="279" t="str">
        <x:v>Store C</x:v>
      </x:c>
      <x:c r="D499" s="279" t="str">
        <x:v>Supplier 64</x:v>
      </x:c>
      <x:c r="E499" s="280" t="n">
        <x:v>0</x:v>
      </x:c>
      <x:c r="F499" s="280" t="n">
        <x:v>1.75</x:v>
      </x:c>
      <x:c r="G499" s="281" t="n">
        <x:v>9.545</x:v>
      </x:c>
      <x:c r="H499" s="281" t="n">
        <x:v>0</x:v>
      </x:c>
      <x:c r="I499" s="281" t="n">
        <x:f>F499*'Assumptions'!$B$7*(1+'Assumptions'!$B$9)</x:f>
        <x:v>4.2</x:v>
      </x:c>
      <x:c r="J499" s="281" t="n">
        <x:f>F499*('Assumptions'!$B$7+'Assumptions'!$B$8)*(1+'Assumptions'!$B$9)</x:f>
        <x:v>12.6</x:v>
      </x:c>
      <x:c r="K499" s="296" t="n">
        <x:f>MAX(0,ROUNDUP(J499-E499,0))</x:f>
        <x:v>13</x:v>
      </x:c>
      <x:c r="L499" s="298" t="n">
        <x:f>IF(F499=0,"",E499/F499)</x:f>
        <x:v>0</x:v>
      </x:c>
      <x:c r="M499" s="279" t="str">
        <x:f>IF(F499=0,IF(E499&gt;0,"No recent demand","No demand / no stock"),IF(E499&lt;=I499,"Order now",IF(L499&lt;='Assumptions'!$B$8,"Review soon","Sufficient stock")))</x:f>
        <x:v>Order now</x:v>
      </x:c>
      <x:c r="N499" s="300" t="n">
        <x:f>K499*H499</x:f>
        <x:v>0</x:v>
      </x:c>
    </x:row>
    <x:row r="500" ht="16.5" customHeight="1">
      <x:c r="A500" s="290" t="str">
        <x:v>SKU0121</x:v>
      </x:c>
      <x:c r="B500" s="291" t="str">
        <x:v>Product 0121</x:v>
      </x:c>
      <x:c r="C500" s="291" t="str">
        <x:v>Store C</x:v>
      </x:c>
      <x:c r="D500" s="291" t="str">
        <x:v>Supplier 05</x:v>
      </x:c>
      <x:c r="E500" s="292" t="n">
        <x:v>6</x:v>
      </x:c>
      <x:c r="F500" s="292" t="n">
        <x:v>1.75</x:v>
      </x:c>
      <x:c r="G500" s="293" t="n">
        <x:v>45.816</x:v>
      </x:c>
      <x:c r="H500" s="293" t="n">
        <x:v>0.6904</x:v>
      </x:c>
      <x:c r="I500" s="293" t="n">
        <x:f>F500*'Assumptions'!$B$7*(1+'Assumptions'!$B$9)</x:f>
        <x:v>4.2</x:v>
      </x:c>
      <x:c r="J500" s="293" t="n">
        <x:f>F500*('Assumptions'!$B$7+'Assumptions'!$B$8)*(1+'Assumptions'!$B$9)</x:f>
        <x:v>12.6</x:v>
      </x:c>
      <x:c r="K500" s="295" t="n">
        <x:f>MAX(0,ROUNDUP(J500-E500,0))</x:f>
        <x:v>7</x:v>
      </x:c>
      <x:c r="L500" s="297" t="n">
        <x:f>IF(F500=0,"",E500/F500)</x:f>
        <x:v>3.4285714285714284</x:v>
      </x:c>
      <x:c r="M500" s="291" t="str">
        <x:f>IF(F500=0,IF(E500&gt;0,"No recent demand","No demand / no stock"),IF(E500&lt;=I500,"Order now",IF(L500&lt;='Assumptions'!$B$8,"Review soon","Sufficient stock")))</x:f>
        <x:v>Review soon</x:v>
      </x:c>
      <x:c r="N500" s="299" t="n">
        <x:f>K500*H500</x:f>
        <x:v>4.8328</x:v>
      </x:c>
    </x:row>
    <x:row r="501" ht="16.5" customHeight="1">
      <x:c r="A501" s="278" t="str">
        <x:v>SKU0126</x:v>
      </x:c>
      <x:c r="B501" s="279" t="str">
        <x:v>Product 0126</x:v>
      </x:c>
      <x:c r="C501" s="279" t="str">
        <x:v>Store C</x:v>
      </x:c>
      <x:c r="D501" s="279" t="str">
        <x:v>Supplier 05</x:v>
      </x:c>
      <x:c r="E501" s="280" t="n">
        <x:v>8</x:v>
      </x:c>
      <x:c r="F501" s="280" t="n">
        <x:v>1.75</x:v>
      </x:c>
      <x:c r="G501" s="281" t="n">
        <x:v>41.998</x:v>
      </x:c>
      <x:c r="H501" s="281" t="n">
        <x:v>0.6377</x:v>
      </x:c>
      <x:c r="I501" s="281" t="n">
        <x:f>F501*'Assumptions'!$B$7*(1+'Assumptions'!$B$9)</x:f>
        <x:v>4.2</x:v>
      </x:c>
      <x:c r="J501" s="281" t="n">
        <x:f>F501*('Assumptions'!$B$7+'Assumptions'!$B$8)*(1+'Assumptions'!$B$9)</x:f>
        <x:v>12.6</x:v>
      </x:c>
      <x:c r="K501" s="296" t="n">
        <x:f>MAX(0,ROUNDUP(J501-E501,0))</x:f>
        <x:v>5</x:v>
      </x:c>
      <x:c r="L501" s="298" t="n">
        <x:f>IF(F501=0,"",E501/F501)</x:f>
        <x:v>4.571428571428571</x:v>
      </x:c>
      <x:c r="M501" s="279" t="str">
        <x:f>IF(F501=0,IF(E501&gt;0,"No recent demand","No demand / no stock"),IF(E501&lt;=I501,"Order now",IF(L501&lt;='Assumptions'!$B$8,"Review soon","Sufficient stock")))</x:f>
        <x:v>Sufficient stock</x:v>
      </x:c>
      <x:c r="N501" s="300" t="n">
        <x:f>K501*H501</x:f>
        <x:v>3.1885000000000003</x:v>
      </x:c>
    </x:row>
  </x:sheetData>
  <x:conditionalFormatting sqref="M2:M501">
    <x:cfRule type="containsText" dxfId="4" priority="1" operator="containsText" text="Order now"/>
    <x:cfRule type="containsText" dxfId="5" priority="2" operator="containsText" text="Review soon"/>
    <x:cfRule type="containsText" dxfId="6" priority="3" operator="containsText" text="Sufficient stock"/>
  </x:conditionalFormatting>
  <x:conditionalFormatting sqref="E2:E501">
    <x:cfRule type="cellIs" dxfId="7" priority="4" operator="lessThan">
      <x:formula>0</x:formula>
    </x:cfRule>
  </x:conditionalFormatting>
  <x:conditionalFormatting sqref="K2:K501">
    <x:cfRule type="dataBar" priority="5">
      <x:dataBar>
        <x:cfvo type="min"/>
        <x:cfvo type="max"/>
        <x:color rgb="FF9BD7B8"/>
      </x:dataBar>
      <x:extLst>
        <x:ext xmlns:x14="http://schemas.microsoft.com/office/spreadsheetml/2009/9/main" uri="{B025F937-C7B1-47D3-B67F-A62EFF666E3E}">
          <x14:id>{78B5B94F-2192-81EB-CB90-6CEAC00BC99B}</x14:id>
        </x:ext>
      </x:extLst>
    </x:cfRule>
  </x:conditionalFormatting>
  <x:conditionalFormatting sqref="N2:N501">
    <x:cfRule type="dataBar" priority="6">
      <x:dataBar>
        <x:cfvo type="min"/>
        <x:cfvo type="max"/>
        <x:color rgb="FF9BD7B8"/>
      </x:dataBar>
      <x:extLst>
        <x:ext xmlns:x14="http://schemas.microsoft.com/office/spreadsheetml/2009/9/main" uri="{B025F937-C7B1-47D3-B67F-A62EFF666E3E}">
          <x14:id>{4283D691-9871-4A44-E27A-8A22F7C663BA}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78d45848d0240c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78B5B94F-2192-81EB-CB90-6CEAC00BC99B}">
            <x14:dataBar gradient="0">
              <x14:cfvo type="min"/>
              <x14:cfvo type="max"/>
              <x14:fillColor rgb="FF9BD7B8"/>
            </x14:dataBar>
          </x14:cfRule>
          <xm:sqref>K2:K501</xm:sqref>
        </x14:conditionalFormatting>
        <x14:conditionalFormatting>
          <x14:cfRule type="dataBar" priority="6" id="{4283D691-9871-4A44-E27A-8A22F7C663BA}">
            <x14:dataBar gradient="0">
              <x14:cfvo type="min"/>
              <x14:cfvo type="max"/>
              <x14:fillColor rgb="FF9BD7B8"/>
            </x14:dataBar>
          </x14:cfRule>
          <xm:sqref>N2:N501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0.5600004196167" hidden="0" customWidth="1"/>
    <x:col min="3" max="3" width="47.779998779296875" hidden="0" customWidth="1"/>
  </x:cols>
  <x:sheetData>
    <x:row r="1" ht="34" customHeight="1">
      <x:c r="A1" s="323" t="str">
        <x:v>Stock Policy Assumptions</x:v>
      </x:c>
      <x:c r="B1" s="323"/>
      <x:c r="C1" s="324"/>
      <x:c r="D1" s="323"/>
      <x:c r="E1" s="323"/>
      <x:c r="F1" s="323"/>
    </x:row>
    <x:row r="2">
      <x:c r="A2" s="312"/>
      <x:c r="B2" s="312"/>
      <x:c r="C2" s="312"/>
      <x:c r="D2" s="312"/>
      <x:c r="E2" s="312"/>
      <x:c r="F2" s="312"/>
    </x:row>
    <x:row r="3" ht="24" customHeight="1">
      <x:c r="A3" s="325" t="str">
        <x:v>Change the green input cells to test a different stock policy</x:v>
      </x:c>
      <x:c r="B3" s="325"/>
      <x:c r="C3" s="325"/>
      <x:c r="D3" s="325"/>
      <x:c r="E3" s="325"/>
      <x:c r="F3" s="325"/>
    </x:row>
    <x:row r="4">
      <x:c r="A4" s="314"/>
      <x:c r="B4" s="314"/>
      <x:c r="C4" s="314"/>
      <x:c r="D4" s="314"/>
      <x:c r="E4" s="314"/>
      <x:c r="F4" s="314"/>
    </x:row>
    <x:row r="5">
      <x:c r="A5" s="289" t="str">
        <x:v>Parameter</x:v>
      </x:c>
      <x:c r="B5" s="289" t="str">
        <x:v>Value</x:v>
      </x:c>
      <x:c r="C5" s="289" t="str">
        <x:v>Description</x:v>
      </x:c>
      <x:c r="D5" s="314"/>
      <x:c r="E5" s="314"/>
      <x:c r="F5" s="314"/>
    </x:row>
    <x:row r="6" ht="21" customHeight="1">
      <x:c r="A6" s="330" t="str">
        <x:v>Demand history (months)</x:v>
      </x:c>
      <x:c r="B6" s="334" t="n">
        <x:v>3</x:v>
      </x:c>
      <x:c r="C6" s="330" t="str">
        <x:v>Uses the most recent three months</x:v>
      </x:c>
      <x:c r="D6" s="314"/>
      <x:c r="E6" s="314"/>
      <x:c r="F6" s="314"/>
    </x:row>
    <x:row r="7" ht="21" customHeight="1">
      <x:c r="A7" s="335" t="str">
        <x:v>Lead time (weeks)</x:v>
      </x:c>
      <x:c r="B7" s="334" t="n">
        <x:v>2</x:v>
      </x:c>
      <x:c r="C7" s="335" t="str">
        <x:v>Illustrative default; replace with supplier-specific lead time</x:v>
      </x:c>
      <x:c r="D7" s="314"/>
      <x:c r="E7" s="314"/>
      <x:c r="F7" s="314"/>
    </x:row>
    <x:row r="8" ht="21" customHeight="1">
      <x:c r="A8" s="330" t="str">
        <x:v>Review period (weeks)</x:v>
      </x:c>
      <x:c r="B8" s="334" t="n">
        <x:v>4</x:v>
      </x:c>
      <x:c r="C8" s="330" t="str">
        <x:v>Coverage period until the next order review</x:v>
      </x:c>
      <x:c r="D8" s="314"/>
      <x:c r="E8" s="314"/>
      <x:c r="F8" s="314"/>
    </x:row>
    <x:row r="9" ht="21" customHeight="1">
      <x:c r="A9" s="335" t="str">
        <x:v>Safety stock rate</x:v>
      </x:c>
      <x:c r="B9" s="340" t="n">
        <x:v>0.2</x:v>
      </x:c>
      <x:c r="C9" s="335" t="str">
        <x:v>Buffer applied to demand during lead time and review period</x:v>
      </x:c>
      <x:c r="D9" s="314"/>
      <x:c r="E9" s="314"/>
      <x:c r="F9" s="314"/>
    </x:row>
    <x:row r="10">
      <x:c r="A10" s="314"/>
      <x:c r="B10" s="314"/>
      <x:c r="C10" s="314"/>
      <x:c r="D10" s="314"/>
      <x:c r="E10" s="314"/>
      <x:c r="F10" s="314"/>
    </x:row>
    <x:row r="11">
      <x:c r="A11" s="314"/>
      <x:c r="B11" s="314"/>
      <x:c r="C11" s="314"/>
      <x:c r="D11" s="314"/>
      <x:c r="E11" s="314"/>
      <x:c r="F11" s="314"/>
    </x:row>
    <x:row r="12">
      <x:c r="A12" s="314"/>
      <x:c r="B12" s="314"/>
      <x:c r="C12" s="314"/>
      <x:c r="D12" s="314"/>
      <x:c r="E12" s="314"/>
      <x:c r="F12" s="314"/>
    </x:row>
  </x:sheetData>
  <x:mergeCells>
    <x:mergeCell ref="A1:F1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890000343322754" hidden="0" customWidth="1"/>
    <x:col min="3" max="3" width="13.890000343322754" hidden="0" customWidth="1"/>
    <x:col min="4" max="4" width="13.890000343322754" hidden="0" customWidth="1"/>
    <x:col min="5" max="5" width="16.110000610351562" hidden="0" customWidth="1"/>
    <x:col min="6" max="6" width="15" hidden="0" customWidth="1"/>
  </x:cols>
  <x:sheetData>
    <x:row r="1">
      <x:c r="A1" s="289" t="str">
        <x:v>Month</x:v>
      </x:c>
      <x:c r="B1" s="289" t="str">
        <x:v>Store A Avg Cost Value</x:v>
      </x:c>
      <x:c r="C1" s="289" t="str">
        <x:v>Store B Avg Cost Value</x:v>
      </x:c>
      <x:c r="D1" s="289" t="str">
        <x:v>Store C Avg Cost Value</x:v>
      </x:c>
      <x:c r="E1" s="289" t="str">
        <x:v>Warehouse Avg Cost Value</x:v>
      </x:c>
      <x:c r="F1" s="289" t="str">
        <x:v>Retail Stores Total</x:v>
      </x:c>
    </x:row>
    <x:row r="2" ht="16.5" customHeight="1">
      <x:c r="A2" s="290" t="str">
        <x:v>2025-05</x:v>
      </x:c>
      <x:c r="B2" s="349" t="n">
        <x:v>5941.6108</x:v>
      </x:c>
      <x:c r="C2" s="349" t="n">
        <x:v>4415.9335</x:v>
      </x:c>
      <x:c r="D2" s="349" t="n">
        <x:v>4461.8406</x:v>
      </x:c>
      <x:c r="E2" s="349" t="n">
        <x:v>25889.2229</x:v>
      </x:c>
      <x:c r="F2" s="294" t="n">
        <x:f>SUM(B2:D2)</x:f>
        <x:v>14819.384900000001</x:v>
      </x:c>
    </x:row>
    <x:row r="3" ht="16.5" customHeight="1">
      <x:c r="A3" s="278" t="str">
        <x:v>2025-06</x:v>
      </x:c>
      <x:c r="B3" s="344" t="n">
        <x:v>5781.7342</x:v>
      </x:c>
      <x:c r="C3" s="344" t="n">
        <x:v>4422.139</x:v>
      </x:c>
      <x:c r="D3" s="344" t="n">
        <x:v>3997.4659</x:v>
      </x:c>
      <x:c r="E3" s="344" t="n">
        <x:v>26130.702</x:v>
      </x:c>
      <x:c r="F3" s="282" t="n">
        <x:f>SUM(B3:D3)</x:f>
        <x:v>14201.339100000001</x:v>
      </x:c>
    </x:row>
    <x:row r="4" ht="16.5" customHeight="1">
      <x:c r="A4" s="290" t="str">
        <x:v>2025-07</x:v>
      </x:c>
      <x:c r="B4" s="349" t="n">
        <x:v>5634.3896</x:v>
      </x:c>
      <x:c r="C4" s="349" t="n">
        <x:v>4734.674</x:v>
      </x:c>
      <x:c r="D4" s="349" t="n">
        <x:v>4292.5013</x:v>
      </x:c>
      <x:c r="E4" s="349" t="n">
        <x:v>21321.2181</x:v>
      </x:c>
      <x:c r="F4" s="294" t="n">
        <x:f>SUM(B4:D4)</x:f>
        <x:v>14661.564900000001</x:v>
      </x:c>
    </x:row>
    <x:row r="5" ht="16.5" customHeight="1">
      <x:c r="A5" s="278" t="str">
        <x:v>2025-08</x:v>
      </x:c>
      <x:c r="B5" s="344" t="n">
        <x:v>4880.2078</x:v>
      </x:c>
      <x:c r="C5" s="344" t="n">
        <x:v>4206.2189</x:v>
      </x:c>
      <x:c r="D5" s="344" t="n">
        <x:v>4629.5091</x:v>
      </x:c>
      <x:c r="E5" s="344" t="n">
        <x:v>18508.8734</x:v>
      </x:c>
      <x:c r="F5" s="282" t="n">
        <x:f>SUM(B5:D5)</x:f>
        <x:v>13715.9358</x:v>
      </x:c>
    </x:row>
    <x:row r="6" ht="16.5" customHeight="1">
      <x:c r="A6" s="290" t="str">
        <x:v>2025-09</x:v>
      </x:c>
      <x:c r="B6" s="349" t="n">
        <x:v>4710.0406</x:v>
      </x:c>
      <x:c r="C6" s="349" t="n">
        <x:v>4264.5359</x:v>
      </x:c>
      <x:c r="D6" s="349" t="n">
        <x:v>4089.2636</x:v>
      </x:c>
      <x:c r="E6" s="349" t="n">
        <x:v>20438.7858</x:v>
      </x:c>
      <x:c r="F6" s="294" t="n">
        <x:f>SUM(B6:D6)</x:f>
        <x:v>13063.8401</x:v>
      </x:c>
    </x:row>
    <x:row r="7" ht="16.5" customHeight="1">
      <x:c r="A7" s="278" t="str">
        <x:v>2025-10</x:v>
      </x:c>
      <x:c r="B7" s="344" t="n">
        <x:v>5407.2451</x:v>
      </x:c>
      <x:c r="C7" s="344" t="n">
        <x:v>4531.8185</x:v>
      </x:c>
      <x:c r="D7" s="344" t="n">
        <x:v>3930.1877</x:v>
      </x:c>
      <x:c r="E7" s="344" t="n">
        <x:v>26939.2378</x:v>
      </x:c>
      <x:c r="F7" s="282" t="n">
        <x:f>SUM(B7:D7)</x:f>
        <x:v>13869.251300000002</x:v>
      </x:c>
    </x:row>
    <x:row r="8" ht="16.5" customHeight="1">
      <x:c r="A8" s="290" t="str">
        <x:v>2025-11</x:v>
      </x:c>
      <x:c r="B8" s="349" t="n">
        <x:v>6192.7758</x:v>
      </x:c>
      <x:c r="C8" s="349" t="n">
        <x:v>5406.9233</x:v>
      </x:c>
      <x:c r="D8" s="349" t="n">
        <x:v>4277.7521</x:v>
      </x:c>
      <x:c r="E8" s="349" t="n">
        <x:v>29459.7518</x:v>
      </x:c>
      <x:c r="F8" s="294" t="n">
        <x:f>SUM(B8:D8)</x:f>
        <x:v>15877.451200000001</x:v>
      </x:c>
    </x:row>
    <x:row r="9" ht="16.5" customHeight="1">
      <x:c r="A9" s="278" t="str">
        <x:v>2025-12</x:v>
      </x:c>
      <x:c r="B9" s="344" t="n">
        <x:v>6223.6031</x:v>
      </x:c>
      <x:c r="C9" s="344" t="n">
        <x:v>5472.4027</x:v>
      </x:c>
      <x:c r="D9" s="344" t="n">
        <x:v>5283.303</x:v>
      </x:c>
      <x:c r="E9" s="344" t="n">
        <x:v>30604.61</x:v>
      </x:c>
      <x:c r="F9" s="282" t="n">
        <x:f>SUM(B9:D9)</x:f>
        <x:v>16979.3088</x:v>
      </x:c>
    </x:row>
    <x:row r="10" ht="16.5" customHeight="1">
      <x:c r="A10" s="290" t="str">
        <x:v>2026-01</x:v>
      </x:c>
      <x:c r="B10" s="349" t="n">
        <x:v>5747.7873</x:v>
      </x:c>
      <x:c r="C10" s="349" t="n">
        <x:v>5462.5479</x:v>
      </x:c>
      <x:c r="D10" s="349" t="n">
        <x:v>4704.3357</x:v>
      </x:c>
      <x:c r="E10" s="349" t="n">
        <x:v>25010.2429</x:v>
      </x:c>
      <x:c r="F10" s="294" t="n">
        <x:f>SUM(B10:D10)</x:f>
        <x:v>15914.6709</x:v>
      </x:c>
    </x:row>
    <x:row r="11" ht="16.5" customHeight="1">
      <x:c r="A11" s="278" t="str">
        <x:v>2026-02</x:v>
      </x:c>
      <x:c r="B11" s="344" t="n">
        <x:v>5796.0074</x:v>
      </x:c>
      <x:c r="C11" s="344" t="n">
        <x:v>5336.0939</x:v>
      </x:c>
      <x:c r="D11" s="344" t="n">
        <x:v>4485.1914</x:v>
      </x:c>
      <x:c r="E11" s="344" t="n">
        <x:v>25299.3727</x:v>
      </x:c>
      <x:c r="F11" s="282" t="n">
        <x:f>SUM(B11:D11)</x:f>
        <x:v>15617.2927</x:v>
      </x:c>
    </x:row>
    <x:row r="12" ht="16.5" customHeight="1">
      <x:c r="A12" s="290" t="str">
        <x:v>2026-03</x:v>
      </x:c>
      <x:c r="B12" s="349" t="n">
        <x:v>5461.3612</x:v>
      </x:c>
      <x:c r="C12" s="349" t="n">
        <x:v>5032.3602</x:v>
      </x:c>
      <x:c r="D12" s="349" t="n">
        <x:v>4015.423</x:v>
      </x:c>
      <x:c r="E12" s="349" t="n">
        <x:v>20656.8592</x:v>
      </x:c>
      <x:c r="F12" s="294" t="n">
        <x:f>SUM(B12:D12)</x:f>
        <x:v>14509.144400000001</x:v>
      </x:c>
    </x:row>
    <x:row r="13" ht="16.5" customHeight="1">
      <x:c r="A13" s="278" t="str">
        <x:v>2026-04</x:v>
      </x:c>
      <x:c r="B13" s="344" t="n">
        <x:v>5201.5308</x:v>
      </x:c>
      <x:c r="C13" s="344" t="n">
        <x:v>4950.9665</x:v>
      </x:c>
      <x:c r="D13" s="344" t="n">
        <x:v>4529.0764</x:v>
      </x:c>
      <x:c r="E13" s="344" t="n">
        <x:v>15845.0009</x:v>
      </x:c>
      <x:c r="F13" s="282" t="n">
        <x:f>SUM(B13:D13)</x:f>
        <x:v>14681.5737</x:v>
      </x:c>
    </x:row>
    <x:row r="14" ht="16.5" customHeight="1">
      <x:c r="A14" s="290" t="str">
        <x:v>2026-05</x:v>
      </x:c>
      <x:c r="B14" s="349" t="n">
        <x:v>4863.4265</x:v>
      </x:c>
      <x:c r="C14" s="349" t="n">
        <x:v>4456.6897</x:v>
      </x:c>
      <x:c r="D14" s="349" t="n">
        <x:v>4078.2436</x:v>
      </x:c>
      <x:c r="E14" s="349" t="n">
        <x:v>14713.2575</x:v>
      </x:c>
      <x:c r="F14" s="294" t="n">
        <x:f>SUM(B14:D14)</x:f>
        <x:v>13398.3598</x:v>
      </x:c>
    </x:row>
    <x:row r="15" ht="16.5" customHeight="1">
      <x:c r="A15" s="278" t="str">
        <x:v>2026-06</x:v>
      </x:c>
      <x:c r="B15" s="344" t="n">
        <x:v>4415.1406</x:v>
      </x:c>
      <x:c r="C15" s="344" t="n">
        <x:v>4178.4477</x:v>
      </x:c>
      <x:c r="D15" s="344" t="n">
        <x:v>4029.7371</x:v>
      </x:c>
      <x:c r="E15" s="344" t="n">
        <x:v>15535.7276</x:v>
      </x:c>
      <x:c r="F15" s="282" t="n">
        <x:f>SUM(B15:D15)</x:f>
        <x:v>12623.3254</x:v>
      </x:c>
    </x:row>
    <x:row r="16" ht="16.5" customHeight="1">
      <x:c r="A16" s="290" t="str">
        <x:v>2026-07</x:v>
      </x:c>
      <x:c r="B16" s="349" t="n">
        <x:v>4042.7448</x:v>
      </x:c>
      <x:c r="C16" s="349" t="n">
        <x:v>3992.2592</x:v>
      </x:c>
      <x:c r="D16" s="349" t="n">
        <x:v>3588.5027</x:v>
      </x:c>
      <x:c r="E16" s="349" t="n">
        <x:v>15479.0464</x:v>
      </x:c>
      <x:c r="F16" s="294" t="n">
        <x:f>SUM(B16:D16)</x:f>
        <x:v>11623.5067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</x:cols>
  <x:sheetData>
    <x:row r="1" ht="25.5" customHeight="1">
      <x:c r="A1" s="323" t="str">
        <x:v>Project notes</x:v>
      </x:c>
      <x:c r="B1" s="323"/>
      <x:c r="C1" s="323"/>
      <x:c r="D1" s="323"/>
      <x:c r="E1" s="323"/>
      <x:c r="F1" s="323"/>
      <x:c r="G1" s="323"/>
      <x:c r="H1" s="323"/>
    </x:row>
    <x:row r="2">
      <x:c r="A2" s="312"/>
      <x:c r="B2" s="312"/>
      <x:c r="C2" s="312"/>
      <x:c r="D2" s="312"/>
      <x:c r="E2" s="312"/>
      <x:c r="F2" s="312"/>
      <x:c r="G2" s="312"/>
      <x:c r="H2" s="312"/>
    </x:row>
    <x:row r="3" ht="24" customHeight="1">
      <x:c r="A3" s="325" t="str">
        <x:v>What the model does and where it stops</x:v>
      </x:c>
      <x:c r="B3" s="325"/>
      <x:c r="C3" s="325"/>
      <x:c r="D3" s="325"/>
      <x:c r="E3" s="325"/>
      <x:c r="F3" s="325"/>
      <x:c r="G3" s="325"/>
      <x:c r="H3" s="325"/>
    </x:row>
    <x:row r="4">
      <x:c r="A4" s="314"/>
      <x:c r="B4" s="314"/>
      <x:c r="C4" s="314"/>
      <x:c r="D4" s="314"/>
      <x:c r="E4" s="314"/>
      <x:c r="F4" s="314"/>
      <x:c r="G4" s="314"/>
      <x:c r="H4" s="314"/>
    </x:row>
    <x:row r="5" ht="28.5" customHeight="1">
      <x:c r="A5" s="363" t="str">
        <x:v>Starting point</x:v>
      </x:c>
      <x:c r="B5" s="365" t="str">
        <x:v>I wanted a repeatable way to compare current stock with recent demand instead of reviewing every product manually.</x:v>
      </x:c>
      <x:c r="C5" s="365"/>
      <x:c r="D5" s="365"/>
      <x:c r="E5" s="365"/>
      <x:c r="F5" s="365"/>
      <x:c r="G5" s="365"/>
      <x:c r="H5" s="365"/>
    </x:row>
    <x:row r="6" ht="28.5" customHeight="1">
      <x:c r="A6" s="363" t="str">
        <x:v>Demand window</x:v>
      </x:c>
      <x:c r="B6" s="367" t="str">
        <x:v>I used the latest three months of positive retail sales.</x:v>
      </x:c>
      <x:c r="C6" s="367"/>
      <x:c r="D6" s="367"/>
      <x:c r="E6" s="367"/>
      <x:c r="F6" s="367"/>
      <x:c r="G6" s="367"/>
      <x:c r="H6" s="367"/>
    </x:row>
    <x:row r="7" ht="28.5" customHeight="1">
      <x:c r="A7" s="363" t="str">
        <x:v>Current stock</x:v>
      </x:c>
      <x:c r="B7" s="367" t="str">
        <x:v>The most recent inventory snapshot is July 2026.</x:v>
      </x:c>
      <x:c r="C7" s="367"/>
      <x:c r="D7" s="367"/>
      <x:c r="E7" s="367"/>
      <x:c r="F7" s="367"/>
      <x:c r="G7" s="367"/>
      <x:c r="H7" s="367"/>
    </x:row>
    <x:row r="8" ht="28.5" customHeight="1">
      <x:c r="A8" s="363" t="str">
        <x:v>Safety stock</x:v>
      </x:c>
      <x:c r="B8" s="367" t="str">
        <x:v>The 20% buffer is only a starting value and can be changed on the Assumptions sheet.</x:v>
      </x:c>
      <x:c r="C8" s="367"/>
      <x:c r="D8" s="367"/>
      <x:c r="E8" s="367"/>
      <x:c r="F8" s="367"/>
      <x:c r="G8" s="367"/>
      <x:c r="H8" s="367"/>
    </x:row>
    <x:row r="9" ht="28.5" customHeight="1">
      <x:c r="A9" s="363" t="str">
        <x:v>Lead time</x:v>
      </x:c>
      <x:c r="B9" s="367" t="str">
        <x:v>I used two weeks because supplier-level lead times were not available.</x:v>
      </x:c>
      <x:c r="C9" s="367"/>
      <x:c r="D9" s="367"/>
      <x:c r="E9" s="367"/>
      <x:c r="F9" s="367"/>
      <x:c r="G9" s="367"/>
      <x:c r="H9" s="367"/>
    </x:row>
    <x:row r="10" ht="28.5" customHeight="1">
      <x:c r="A10" s="363" t="str">
        <x:v>Review period</x:v>
      </x:c>
      <x:c r="B10" s="367" t="str">
        <x:v>The default review period is four weeks.</x:v>
      </x:c>
      <x:c r="C10" s="367"/>
      <x:c r="D10" s="367"/>
      <x:c r="E10" s="367"/>
      <x:c r="F10" s="367"/>
      <x:c r="G10" s="367"/>
      <x:c r="H10" s="367"/>
    </x:row>
    <x:row r="11" ht="28.5" customHeight="1">
      <x:c r="A11" s="363" t="str">
        <x:v>Useful result</x:v>
      </x:c>
      <x:c r="B11" s="367" t="str">
        <x:v>The model narrows the list to product–store combinations that deserve attention.</x:v>
      </x:c>
      <x:c r="C11" s="367"/>
      <x:c r="D11" s="367"/>
      <x:c r="E11" s="367"/>
      <x:c r="F11" s="367"/>
      <x:c r="G11" s="367"/>
      <x:c r="H11" s="367"/>
    </x:row>
    <x:row r="12" ht="28.5" customHeight="1">
      <x:c r="A12" s="363" t="str">
        <x:v>Missing data</x:v>
      </x:c>
      <x:c r="B12" s="367" t="str">
        <x:v>Receipts, transfers, write-offs, pack sizes, minimum orders and order history were not available.</x:v>
      </x:c>
      <x:c r="C12" s="367"/>
      <x:c r="D12" s="367"/>
      <x:c r="E12" s="367"/>
      <x:c r="F12" s="367"/>
      <x:c r="G12" s="367"/>
      <x:c r="H12" s="367"/>
    </x:row>
    <x:row r="13" ht="28.5" customHeight="1">
      <x:c r="A13" s="363" t="str">
        <x:v>Interpretation</x:v>
      </x:c>
      <x:c r="B13" s="367" t="str">
        <x:v>The output is a review list, not a ready-to-send purchase order.</x:v>
      </x:c>
      <x:c r="C13" s="367"/>
      <x:c r="D13" s="367"/>
      <x:c r="E13" s="367"/>
      <x:c r="F13" s="367"/>
      <x:c r="G13" s="367"/>
      <x:c r="H13" s="367"/>
    </x:row>
  </x:sheetData>
  <x:mergeCells>
    <x:mergeCell ref="A1:H2"/>
    <x:mergeCell ref="A3:H3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A1:H1"/>
  </x:mergeCells>
  <x:pageMargins left="0.7" right="0.7" top="0.75" bottom="0.75" header="0.3" footer="0.3"/>
</x:worksheet>
</file>