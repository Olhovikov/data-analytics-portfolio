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6234140ac42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0bffec5cff4a68"/>
    <x:sheet xmlns:r="http://schemas.openxmlformats.org/officeDocument/2006/relationships" name="Monthly" sheetId="2" r:id="Rd849ba93bff74fe0"/>
    <x:sheet xmlns:r="http://schemas.openxmlformats.org/officeDocument/2006/relationships" name="Stores" sheetId="3" r:id="Rc9b90dfd533f4c6c"/>
    <x:sheet xmlns:r="http://schemas.openxmlformats.org/officeDocument/2006/relationships" name="Categories" sheetId="4" r:id="R64e2e4a69a9042cc"/>
    <x:sheet xmlns:r="http://schemas.openxmlformats.org/officeDocument/2006/relationships" name="Top Products" sheetId="5" r:id="Re3c94d73397e4cee"/>
    <x:sheet xmlns:r="http://schemas.openxmlformats.org/officeDocument/2006/relationships" name="ABC XYZ" sheetId="6" r:id="Rb368f9568d6b401c"/>
    <x:sheet xmlns:r="http://schemas.openxmlformats.org/officeDocument/2006/relationships" name="Portfolio Guide" sheetId="7" r:id="R12de17d5c6fa4945"/>
    <x:sheet xmlns:r="http://schemas.openxmlformats.org/officeDocument/2006/relationships" name="Data Dictionary" sheetId="8" r:id="Rb09f7e780a48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€#,##0"/>
    <x:numFmt numFmtId="201" formatCode="0.0%"/>
    <x:numFmt numFmtId="202" formatCode="#,##0"/>
    <x:numFmt numFmtId="203" formatCode="€#,##0.00"/>
    <x:numFmt numFmtId="204" formatCode="€0.00"/>
    <x:numFmt numFmtId="205" formatCode="0.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9"/>
      <x:color rgb="FF263238"/>
      <x:name val="Carlito"/>
    </x:font>
    <x:font>
      <x:sz val="11"/>
      <x:color rgb="FF6B747A"/>
      <x:name val="Carlito"/>
    </x:font>
    <x:font>
      <x:b/>
      <x:sz val="11"/>
      <x:color rgb="FF6B747A"/>
      <x:name val="Carlito"/>
    </x:font>
    <x:font>
      <x:b/>
      <x:sz val="18"/>
      <x:color rgb="FF263238"/>
      <x:name val="Carlito"/>
    </x:font>
    <x:font>
      <x:b/>
      <x:sz val="11"/>
      <x:color rgb="FF263238"/>
      <x:name val="Carlito"/>
    </x:font>
    <x:font>
      <x:b/>
      <x:sz val="11"/>
      <x:color rgb="FF356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44955"/>
      </x:patternFill>
    </x:fill>
    <x:fill>
      <x:patternFill patternType="solid">
        <x:fgColor rgb="FFFFFFFF"/>
      </x:patternFill>
    </x:fill>
    <x:fill>
      <x:patternFill patternType="solid">
        <x:fgColor rgb="FFF7F8F8"/>
      </x:patternFill>
    </x:fill>
    <x:fill>
      <x:patternFill patternType="solid">
        <x:fgColor rgb="FFEAF1F5"/>
      </x:patternFill>
    </x:fill>
  </x:fills>
  <x:borders count="1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bottom style="medium">
        <x:color rgb="FF356A8A"/>
      </x:bottom>
    </x:border>
    <x:border>
      <x:left style="thin">
        <x:color rgb="FFD8DEE3"/>
      </x:left>
      <x:top style="medium">
        <x:color rgb="FF356A8A"/>
      </x:top>
    </x:border>
    <x:border>
      <x:top style="medium">
        <x:color rgb="FF356A8A"/>
      </x:top>
    </x:border>
    <x:border>
      <x:right style="thin">
        <x:color rgb="FFD8DEE3"/>
      </x:right>
      <x:top style="medium">
        <x:color rgb="FF356A8A"/>
      </x:top>
    </x:border>
    <x:border>
      <x:left style="thin">
        <x:color rgb="FFD8DEE3"/>
      </x:left>
    </x:border>
    <x:border>
      <x:right style="thin">
        <x:color rgb="FFD8DEE3"/>
      </x:right>
    </x:border>
    <x:border>
      <x:left style="thin">
        <x:color rgb="FFD8DEE3"/>
      </x:left>
      <x:bottom style="thin">
        <x:color rgb="FFD8DEE3"/>
      </x:bottom>
    </x:border>
    <x:border>
      <x:right style="thin">
        <x:color rgb="FFD8DEE3"/>
      </x:right>
      <x:bottom style="thin">
        <x:color rgb="FFD8DEE3"/>
      </x:bottom>
    </x:border>
    <x:border>
      <x:top style="thin">
        <x:color rgb="FFD8DEE3"/>
      </x:top>
    </x:border>
    <x:border>
      <x:bottom style="medium">
        <x:color rgb="FF4B7B68"/>
      </x:bottom>
    </x:border>
    <x:border>
      <x:bottom style="medium">
        <x:color rgb="FFC96B32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4" fontId="0" fillId="0" borderId="2" xfId="0" applyNumberFormat="1" applyFont="1" applyFill="1" applyBorder="1"/>
    <x:xf numFmtId="205" fontId="0" fillId="0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" xfId="0" applyNumberFormat="1" applyFont="1" applyFill="1" applyBorder="1"/>
    <x:xf numFmtId="0" fontId="5" fillId="3" borderId="10" xfId="0" applyNumberFormat="1" applyFont="1" applyFill="1" applyBorder="1"/>
    <x:xf numFmtId="0" fontId="5" fillId="3" borderId="7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</x:xf>
    <x:xf numFmtId="0" fontId="5" fillId="3" borderId="8" xfId="0" applyNumberFormat="1" applyFont="1" applyFill="1" applyBorder="1" applyAlignment="1">
      <x:alignment horizontal="center"/>
    </x:xf>
    <x:xf numFmtId="0" fontId="5" fillId="3" borderId="9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5" fillId="3" borderId="10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8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10" xfId="0" applyNumberFormat="1" applyFont="1" applyFill="1" applyBorder="1" applyAlignment="1">
      <x:alignment horizontal="center" vertical="center"/>
    </x:xf>
    <x:xf numFmtId="200" fontId="5" fillId="3" borderId="7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200" fontId="5" fillId="3" borderId="8" xfId="0" applyNumberFormat="1" applyFont="1" applyFill="1" applyBorder="1" applyAlignment="1">
      <x:alignment horizontal="center" vertical="center"/>
    </x:xf>
    <x:xf numFmtId="200" fontId="5" fillId="3" borderId="9" xfId="0" applyNumberFormat="1" applyFont="1" applyFill="1" applyBorder="1" applyAlignment="1">
      <x:alignment horizontal="center" vertical="center"/>
    </x:xf>
    <x:xf numFmtId="200" fontId="5" fillId="3" borderId="1" xfId="0" applyNumberFormat="1" applyFont="1" applyFill="1" applyBorder="1" applyAlignment="1">
      <x:alignment horizontal="center" vertical="center"/>
    </x:xf>
    <x:xf numFmtId="200" fontId="5" fillId="3" borderId="10" xfId="0" applyNumberFormat="1" applyFont="1" applyFill="1" applyBorder="1" applyAlignment="1">
      <x:alignment horizontal="center" vertical="center"/>
    </x:xf>
    <x:xf numFmtId="201" fontId="5" fillId="3" borderId="7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  <x:xf numFmtId="201" fontId="5" fillId="3" borderId="8" xfId="0" applyNumberFormat="1" applyFont="1" applyFill="1" applyBorder="1" applyAlignment="1">
      <x:alignment horizontal="center" vertical="center"/>
    </x:xf>
    <x:xf numFmtId="201" fontId="5" fillId="3" borderId="9" xfId="0" applyNumberFormat="1" applyFont="1" applyFill="1" applyBorder="1" applyAlignment="1">
      <x:alignment horizontal="center" vertical="center"/>
    </x:xf>
    <x:xf numFmtId="201" fontId="5" fillId="3" borderId="1" xfId="0" applyNumberFormat="1" applyFont="1" applyFill="1" applyBorder="1" applyAlignment="1">
      <x:alignment horizontal="center" vertical="center"/>
    </x:xf>
    <x:xf numFmtId="201" fontId="5" fillId="3" borderId="10" xfId="0" applyNumberFormat="1" applyFont="1" applyFill="1" applyBorder="1" applyAlignment="1">
      <x:alignment horizontal="center" vertical="center"/>
    </x:xf>
    <x:xf numFmtId="202" fontId="5" fillId="3" borderId="7" xfId="0" applyNumberFormat="1" applyFont="1" applyFill="1" applyBorder="1" applyAlignment="1">
      <x:alignment horizontal="center" vertical="center"/>
    </x:xf>
    <x:xf numFmtId="202" fontId="5" fillId="3" borderId="0" xfId="0" applyNumberFormat="1" applyFont="1" applyFill="1" applyBorder="1" applyAlignment="1">
      <x:alignment horizontal="center" vertical="center"/>
    </x:xf>
    <x:xf numFmtId="202" fontId="5" fillId="3" borderId="8" xfId="0" applyNumberFormat="1" applyFont="1" applyFill="1" applyBorder="1" applyAlignment="1">
      <x:alignment horizontal="center" vertical="center"/>
    </x:xf>
    <x:xf numFmtId="202" fontId="5" fillId="3" borderId="9" xfId="0" applyNumberFormat="1" applyFont="1" applyFill="1" applyBorder="1" applyAlignment="1">
      <x:alignment horizontal="center" vertical="center"/>
    </x:xf>
    <x:xf numFmtId="202" fontId="5" fillId="3" borderId="1" xfId="0" applyNumberFormat="1" applyFont="1" applyFill="1" applyBorder="1" applyAlignment="1">
      <x:alignment horizontal="center" vertical="center"/>
    </x:xf>
    <x:xf numFmtId="202" fontId="5" fillId="3" borderId="10" xfId="0" applyNumberFormat="1" applyFont="1" applyFill="1" applyBorder="1" applyAlignment="1">
      <x:alignment horizontal="center" vertical="center"/>
    </x:xf>
    <x:xf numFmtId="204" fontId="5" fillId="3" borderId="7" xfId="0" applyNumberFormat="1" applyFont="1" applyFill="1" applyBorder="1" applyAlignment="1">
      <x:alignment horizontal="center" vertical="center"/>
    </x:xf>
    <x:xf numFmtId="204" fontId="5" fillId="3" borderId="8" xfId="0" applyNumberFormat="1" applyFont="1" applyFill="1" applyBorder="1" applyAlignment="1">
      <x:alignment horizontal="center" vertical="center"/>
    </x:xf>
    <x:xf numFmtId="204" fontId="5" fillId="3" borderId="9" xfId="0" applyNumberFormat="1" applyFont="1" applyFill="1" applyBorder="1" applyAlignment="1">
      <x:alignment horizontal="center" vertical="center"/>
    </x:xf>
    <x:xf numFmtId="204" fontId="5" fillId="3" borderId="1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0" fontId="6" fillId="5" borderId="3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11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2" xfId="0" applyNumberFormat="1" applyFont="1" applyFill="1" applyBorder="1" applyAlignment="1">
      <x:alignment vertical="center"/>
    </x:xf>
    <x:xf numFmtId="0" fontId="6" fillId="5" borderId="13" xfId="0" applyNumberFormat="1" applyFont="1" applyFill="1" applyBorder="1"/>
    <x:xf numFmtId="0" fontId="6" fillId="5" borderId="13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8e51352d04ac2" /><Relationship Type="http://schemas.openxmlformats.org/officeDocument/2006/relationships/theme" Target="/xl/theme/theme1.xml" Id="R4d2cc2547084409c" /><Relationship Type="http://schemas.openxmlformats.org/officeDocument/2006/relationships/sharedStrings" Target="/xl/sharedStrings.xml" Id="R24068c83adf04862" /><Relationship Type="http://schemas.openxmlformats.org/officeDocument/2006/relationships/worksheet" Target="/xl/worksheets/sheet1.xml" Id="R070bffec5cff4a68" /><Relationship Type="http://schemas.openxmlformats.org/officeDocument/2006/relationships/worksheet" Target="/xl/worksheets/sheet2.xml" Id="Rd849ba93bff74fe0" /><Relationship Type="http://schemas.openxmlformats.org/officeDocument/2006/relationships/worksheet" Target="/xl/worksheets/sheet3.xml" Id="Rc9b90dfd533f4c6c" /><Relationship Type="http://schemas.openxmlformats.org/officeDocument/2006/relationships/worksheet" Target="/xl/worksheets/sheet4.xml" Id="R64e2e4a69a9042cc" /><Relationship Type="http://schemas.openxmlformats.org/officeDocument/2006/relationships/worksheet" Target="/xl/worksheets/sheet5.xml" Id="Re3c94d73397e4cee" /><Relationship Type="http://schemas.openxmlformats.org/officeDocument/2006/relationships/worksheet" Target="/xl/worksheets/sheet6.xml" Id="Rb368f9568d6b401c" /><Relationship Type="http://schemas.openxmlformats.org/officeDocument/2006/relationships/worksheet" Target="/xl/worksheets/sheet7.xml" Id="R12de17d5c6fa4945" /><Relationship Type="http://schemas.openxmlformats.org/officeDocument/2006/relationships/worksheet" Target="/xl/worksheets/sheet8.xml" Id="Rb09f7e780a484319" /><Relationship Type="http://schemas.microsoft.com/office/2017/10/relationships/person" Target="/xl/persons/person.xml" Id="R8330b31c707c47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8a87d66f2341b5" /><Relationship Type="http://schemas.openxmlformats.org/officeDocument/2006/relationships/chart" Target="/xl/drawings/charts/chart2.xml" Id="Rec254211d5ec40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retail revenue (€)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Retail Revenue</c:v>
          </c:tx>
          <c:marker>
            <c:symbol val="none"/>
          </c:marker>
          <c:cat>
            <c:strRef>
              <c:f>'Dashboard'!$O$2:$O$16</c:f>
              <c:strCache>
                <c:ptCount val="0"/>
              </c:strCache>
            </c:strRef>
          </c:cat>
          <c:val>
            <c:numRef>
              <c:f>'Dashboard'!$P$2:$P$16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store (€)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'Dashboard'!$O$21:$O$23</c:f>
              <c:strCache>
                <c:ptCount val="0"/>
              </c:strCache>
            </c:strRef>
          </c:cat>
          <c:val>
            <c:numRef>
              <c:f>'Dashboard'!$P$21:$P$23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8a87d66f2341b5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254211d5ec406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Danila Olhovikov" id="{623622D5-207D-484D-BCE7-387A01BD2D99}"/>
</xltc:personList>
</file>

<file path=xl/tables/table1.xml><?xml version="1.0" encoding="utf-8"?>
<x:table xmlns:x="http://schemas.openxmlformats.org/spreadsheetml/2006/main" id="1" name="MonthlySalesTable" displayName="MonthlySalesTable" ref="A1:H16" headerRowCount="1" totalsRowCount="0" totalsRowShown="0">
  <x:tableColumns count="8">
    <x:tableColumn id="1" name="Month"/>
    <x:tableColumn id="2" name="Retail Revenue"/>
    <x:tableColumn id="3" name="Retail Profit"/>
    <x:tableColumn id="4" name="Margin"/>
    <x:tableColumn id="5" name="Transactions"/>
    <x:tableColumn id="6" name="Units"/>
    <x:tableColumn id="7" name="Average Basket"/>
    <x:tableColumn id="8" name="Wholesale Reven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rePerformanceTable" displayName="StorePerformanceTable" ref="A1:F4" headerRowCount="1" totalsRowCount="0" totalsRowShown="0">
  <x:tableColumns count="6">
    <x:tableColumn id="1" name="Location"/>
    <x:tableColumn id="2" name="Revenue"/>
    <x:tableColumn id="3" name="Profit"/>
    <x:tableColumn id="4" name="Units"/>
    <x:tableColumn id="5" name="Transactions"/>
    <x:tableColumn id="6" name="Average Bask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yPerformanceTable" displayName="CategoryPerformanceTable" ref="A1:D13" headerRowCount="1" totalsRowCount="0" totalsRowShown="0">
  <x:tableColumns count="4">
    <x:tableColumn id="1" name="Category"/>
    <x:tableColumn id="2" name="Revenue"/>
    <x:tableColumn id="3" name="Profit"/>
    <x:tableColumn id="4" name="Uni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ProductsTable" displayName="TopProductsTable" ref="A1:E16" headerRowCount="1" totalsRowCount="0" totalsRowShown="0">
  <x:tableColumns count="5">
    <x:tableColumn id="1" name="SKU"/>
    <x:tableColumn id="2" name="Product"/>
    <x:tableColumn id="3" name="Revenue"/>
    <x:tableColumn id="4" name="Profit"/>
    <x:tableColumn id="5" name="Uni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BCXYZTable" displayName="ABCXYZTable" ref="A1:J31" headerRowCount="1" totalsRowCount="0" totalsRowShown="0">
  <x:tableColumns count="10">
    <x:tableColumn id="1" name="SKU"/>
    <x:tableColumn id="2" name="Product"/>
    <x:tableColumn id="3" name="Revenue"/>
    <x:tableColumn id="4" name="Revenue Share"/>
    <x:tableColumn id="5" name="Cumulative Share"/>
    <x:tableColumn id="6" name="ABC"/>
    <x:tableColumn id="7" name="Monthly Avg Units"/>
    <x:tableColumn id="8" name="CV"/>
    <x:tableColumn id="9" name="XYZ"/>
    <x:tableColumn id="10" name="Seg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6ee525a40544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a363663f0842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ef7bc5ac5847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3c80b7f8874f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e0f823f7914e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c3ee78495742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4" customHeight="1">
      <x:c r="A1" s="16" t="str">
        <x:v>Sales overview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t="str">
        <x:v>Month</x:v>
      </x:c>
      <x:c r="P1" t="str">
        <x:v>Retail Revenue</x:v>
      </x:c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t="str">
        <x:f>'Monthly'!A2</x:f>
        <x:v>2025-05</x:v>
      </x:c>
      <x:c r="P2" t="n">
        <x:f>'Monthly'!B2</x:f>
        <x:v>16987.6598</x:v>
      </x:c>
    </x:row>
    <x:row r="3" ht="24" customHeight="1">
      <x:c r="A3" s="19" t="str">
        <x:v>May 2025 – July 2026 · retail only unless noted · anonymized data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t="str">
        <x:f>'Monthly'!A3</x:f>
        <x:v>2025-06</x:v>
      </x:c>
      <x:c r="P3" t="n">
        <x:f>'Monthly'!B3</x:f>
        <x:v>16678.9247</x:v>
      </x:c>
    </x:row>
    <x:row r="4">
      <x:c r="O4" t="str">
        <x:f>'Monthly'!A4</x:f>
        <x:v>2025-07</x:v>
      </x:c>
      <x:c r="P4" t="n">
        <x:f>'Monthly'!B4</x:f>
        <x:v>20908.3059</x:v>
      </x:c>
    </x:row>
    <x:row r="5">
      <x:c r="A5" s="28" t="str">
        <x:v>Revenue</x:v>
      </x:c>
      <x:c r="B5" s="29"/>
      <x:c r="C5" s="30"/>
      <x:c r="D5" s="28" t="str">
        <x:v>Gross profit</x:v>
      </x:c>
      <x:c r="E5" s="29"/>
      <x:c r="F5" s="30"/>
      <x:c r="G5" s="28" t="str">
        <x:v>Margin</x:v>
      </x:c>
      <x:c r="H5" s="29"/>
      <x:c r="I5" s="30"/>
      <x:c r="J5" s="28" t="str">
        <x:v>Receipts</x:v>
      </x:c>
      <x:c r="K5" s="29"/>
      <x:c r="L5" s="30"/>
      <x:c r="M5" s="28" t="str">
        <x:v>Average receipt</x:v>
      </x:c>
      <x:c r="N5" s="30"/>
      <x:c r="O5" t="str">
        <x:f>'Monthly'!A5</x:f>
        <x:v>2025-08</x:v>
      </x:c>
      <x:c r="P5" t="n">
        <x:f>'Monthly'!B5</x:f>
        <x:v>16936.175</x:v>
      </x:c>
    </x:row>
    <x:row r="6">
      <x:c r="A6" s="49" t="n">
        <x:f>SUM('Monthly'!B2:B16)</x:f>
        <x:v>231612.7202</x:v>
      </x:c>
      <x:c r="B6" s="50"/>
      <x:c r="C6" s="51"/>
      <x:c r="D6" s="49" t="n">
        <x:f>SUM('Monthly'!C2:C16)</x:f>
        <x:v>81727.56159999999</x:v>
      </x:c>
      <x:c r="E6" s="50"/>
      <x:c r="F6" s="51"/>
      <x:c r="G6" s="55" t="n">
        <x:f>SUM('Monthly'!C2:C16)/SUM('Monthly'!B2:B16)</x:f>
        <x:v>0.3528630099824715</x:v>
      </x:c>
      <x:c r="H6" s="56"/>
      <x:c r="I6" s="57"/>
      <x:c r="J6" s="61" t="n">
        <x:f>SUM('Monthly'!E2:E16)</x:f>
        <x:v>67055</x:v>
      </x:c>
      <x:c r="K6" s="62"/>
      <x:c r="L6" s="63"/>
      <x:c r="M6" s="67" t="n">
        <x:f>SUM('Monthly'!B2:B16)/SUM('Monthly'!E2:E16)</x:f>
        <x:v>3.4540708403549325</x:v>
      </x:c>
      <x:c r="N6" s="68"/>
      <x:c r="O6" t="str">
        <x:f>'Monthly'!A6</x:f>
        <x:v>2025-09</x:v>
      </x:c>
      <x:c r="P6" t="n">
        <x:f>'Monthly'!B6</x:f>
        <x:v>12444.2149</x:v>
      </x:c>
    </x:row>
    <x:row r="7">
      <x:c r="A7" s="49"/>
      <x:c r="B7" s="50"/>
      <x:c r="C7" s="51"/>
      <x:c r="D7" s="49"/>
      <x:c r="E7" s="50"/>
      <x:c r="F7" s="51"/>
      <x:c r="G7" s="55"/>
      <x:c r="H7" s="56"/>
      <x:c r="I7" s="57"/>
      <x:c r="J7" s="61"/>
      <x:c r="K7" s="62"/>
      <x:c r="L7" s="63"/>
      <x:c r="M7" s="67"/>
      <x:c r="N7" s="68"/>
      <x:c r="O7" t="str">
        <x:f>'Monthly'!A7</x:f>
        <x:v>2025-10</x:v>
      </x:c>
      <x:c r="P7" t="n">
        <x:f>'Monthly'!B7</x:f>
        <x:v>15425.5002</x:v>
      </x:c>
    </x:row>
    <x:row r="8">
      <x:c r="A8" s="52"/>
      <x:c r="B8" s="53"/>
      <x:c r="C8" s="54"/>
      <x:c r="D8" s="52"/>
      <x:c r="E8" s="53"/>
      <x:c r="F8" s="54"/>
      <x:c r="G8" s="58"/>
      <x:c r="H8" s="59"/>
      <x:c r="I8" s="60"/>
      <x:c r="J8" s="64"/>
      <x:c r="K8" s="65"/>
      <x:c r="L8" s="66"/>
      <x:c r="M8" s="69"/>
      <x:c r="N8" s="70"/>
      <x:c r="O8" t="str">
        <x:f>'Monthly'!A8</x:f>
        <x:v>2025-11</x:v>
      </x:c>
      <x:c r="P8" t="n">
        <x:f>'Monthly'!B8</x:f>
        <x:v>14828.6389</x:v>
      </x:c>
    </x:row>
    <x:row r="9">
      <x:c r="O9" t="str">
        <x:f>'Monthly'!A9</x:f>
        <x:v>2025-12</x:v>
      </x:c>
      <x:c r="P9" t="n">
        <x:f>'Monthly'!B9</x:f>
        <x:v>24908.383</x:v>
      </x:c>
    </x:row>
    <x:row r="10">
      <x:c r="A10" s="74" t="str">
        <x:v>What stood out</x:v>
      </x:c>
      <x:c r="B10" s="74"/>
      <x:c r="C10" s="74"/>
      <x:c r="D10" s="74"/>
      <x:c r="E10" s="74"/>
      <x:c r="F10" s="74"/>
      <x:c r="O10" t="str">
        <x:f>'Monthly'!A10</x:f>
        <x:v>2026-01</x:v>
      </x:c>
      <x:c r="P10" t="n">
        <x:f>'Monthly'!B10</x:f>
        <x:v>10719.9812</x:v>
      </x:c>
    </x:row>
    <x:row r="11">
      <x:c r="A11" s="76" t="str">
        <x:v>May–Jul retail revenue YoY</x:v>
      </x:c>
      <x:c r="B11" s="76"/>
      <x:c r="C11" s="76"/>
      <x:c r="D11" s="79" t="str">
        <x:v>-22.4%</x:v>
      </x:c>
      <x:c r="E11" s="79"/>
      <x:c r="F11" s="79"/>
      <x:c r="O11" t="str">
        <x:f>'Monthly'!A11</x:f>
        <x:v>2026-02</x:v>
      </x:c>
      <x:c r="P11" t="n">
        <x:f>'Monthly'!B11</x:f>
        <x:v>13011.7689</x:v>
      </x:c>
    </x:row>
    <x:row r="12">
      <x:c r="A12" s="77" t="str">
        <x:v>Best store by revenue</x:v>
      </x:c>
      <x:c r="B12" s="77"/>
      <x:c r="C12" s="77"/>
      <x:c r="D12" s="80" t="str">
        <x:v>Store C</x:v>
      </x:c>
      <x:c r="E12" s="80"/>
      <x:c r="F12" s="80"/>
      <x:c r="O12" t="str">
        <x:f>'Monthly'!A12</x:f>
        <x:v>2026-03</x:v>
      </x:c>
      <x:c r="P12" t="n">
        <x:f>'Monthly'!B12</x:f>
        <x:v>13539.7153</x:v>
      </x:c>
    </x:row>
    <x:row r="13">
      <x:c r="A13" s="77" t="str">
        <x:v>Return value rate</x:v>
      </x:c>
      <x:c r="B13" s="77"/>
      <x:c r="C13" s="77"/>
      <x:c r="D13" s="80" t="str">
        <x:v>0.11%</x:v>
      </x:c>
      <x:c r="E13" s="80"/>
      <x:c r="F13" s="80"/>
      <x:c r="O13" t="str">
        <x:f>'Monthly'!A13</x:f>
        <x:v>2026-04</x:v>
      </x:c>
      <x:c r="P13" t="n">
        <x:f>'Monthly'!B13</x:f>
        <x:v>12863.1906</x:v>
      </x:c>
    </x:row>
    <x:row r="14">
      <x:c r="A14" s="77" t="str">
        <x:v>Discounts / retail revenue</x:v>
      </x:c>
      <x:c r="B14" s="77"/>
      <x:c r="C14" s="77"/>
      <x:c r="D14" s="80" t="str">
        <x:v>10.7%</x:v>
      </x:c>
      <x:c r="E14" s="80"/>
      <x:c r="F14" s="80"/>
      <x:c r="O14" t="str">
        <x:f>'Monthly'!A14</x:f>
        <x:v>2026-05</x:v>
      </x:c>
      <x:c r="P14" t="n">
        <x:f>'Monthly'!B14</x:f>
        <x:v>13767.2515</x:v>
      </x:c>
    </x:row>
    <x:row r="15">
      <x:c r="A15" s="78" t="str">
        <x:v>Wholesale share of revenue</x:v>
      </x:c>
      <x:c r="B15" s="78"/>
      <x:c r="C15" s="78"/>
      <x:c r="D15" s="81" t="str">
        <x:v>19.6%</x:v>
      </x:c>
      <x:c r="E15" s="81"/>
      <x:c r="F15" s="81"/>
      <x:c r="O15" t="str">
        <x:f>'Monthly'!A15</x:f>
        <x:v>2026-06</x:v>
      </x:c>
      <x:c r="P15" t="n">
        <x:f>'Monthly'!B15</x:f>
        <x:v>12671.8922</x:v>
      </x:c>
    </x:row>
    <x:row r="16">
      <x:c r="O16" t="str">
        <x:f>'Monthly'!A16</x:f>
        <x:v>2026-07</x:v>
      </x:c>
      <x:c r="P16" t="n">
        <x:f>'Monthly'!B16</x:f>
        <x:v>15921.1181</x:v>
      </x:c>
    </x:row>
    <x:row r="18">
      <x:c r="A18" s="83" t="str">
        <x:v>Top products by retail revenue</x:v>
      </x:c>
      <x:c r="B18" s="83"/>
      <x:c r="C18" s="83"/>
      <x:c r="D18" s="83"/>
      <x:c r="E18" s="83"/>
      <x:c r="F18" s="83"/>
    </x:row>
    <x:row r="19">
      <x:c r="A19" s="6" t="str">
        <x:v>SKU</x:v>
      </x:c>
      <x:c r="B19" s="6" t="str">
        <x:v>Product</x:v>
      </x:c>
      <x:c r="C19" s="6" t="str">
        <x:v>Revenue</x:v>
      </x:c>
      <x:c r="D19" s="6" t="str">
        <x:v>Profit</x:v>
      </x:c>
      <x:c r="E19" s="6" t="str">
        <x:v>Units</x:v>
      </x:c>
      <x:c r="F19" s="1"/>
    </x:row>
    <x:row r="20">
      <x:c r="A20" s="2" t="str">
        <x:v>SKU1787</x:v>
      </x:c>
      <x:c r="B20" s="2" t="str">
        <x:v>Product 1787</x:v>
      </x:c>
      <x:c r="C20" s="7" t="n">
        <x:v>6531.6269</x:v>
      </x:c>
      <x:c r="D20" s="7" t="n">
        <x:v>1973.5992</x:v>
      </x:c>
      <x:c r="E20" s="9" t="n">
        <x:v>2392</x:v>
      </x:c>
      <x:c r="F20" s="2"/>
      <x:c r="O20" t="str">
        <x:v>Store</x:v>
      </x:c>
      <x:c r="P20" t="str">
        <x:v>Revenue</x:v>
      </x:c>
    </x:row>
    <x:row r="21">
      <x:c r="A21" s="2" t="str">
        <x:v>SKU0581</x:v>
      </x:c>
      <x:c r="B21" s="2" t="str">
        <x:v>Product 0581</x:v>
      </x:c>
      <x:c r="C21" s="7" t="n">
        <x:v>3265.1951</x:v>
      </x:c>
      <x:c r="D21" s="7" t="n">
        <x:v>1414.1218</x:v>
      </x:c>
      <x:c r="E21" s="9" t="n">
        <x:v>288</x:v>
      </x:c>
      <x:c r="F21" s="2"/>
      <x:c r="O21" t="str">
        <x:f>'Stores'!A2</x:f>
        <x:v>Store A</x:v>
      </x:c>
      <x:c r="P21" t="n">
        <x:f>'Stores'!B2</x:f>
        <x:v>64680.8127</x:v>
      </x:c>
    </x:row>
    <x:row r="22">
      <x:c r="A22" s="2" t="str">
        <x:v>SKU1790</x:v>
      </x:c>
      <x:c r="B22" s="2" t="str">
        <x:v>Product 1790</x:v>
      </x:c>
      <x:c r="C22" s="7" t="n">
        <x:v>3231.4473</x:v>
      </x:c>
      <x:c r="D22" s="7" t="n">
        <x:v>900.9156</x:v>
      </x:c>
      <x:c r="E22" s="9" t="n">
        <x:v>1233</x:v>
      </x:c>
      <x:c r="F22" s="2"/>
      <x:c r="O22" t="str">
        <x:f>'Stores'!A3</x:f>
        <x:v>Store B</x:v>
      </x:c>
      <x:c r="P22" t="n">
        <x:f>'Stores'!B3</x:f>
        <x:v>72389.6619</x:v>
      </x:c>
    </x:row>
    <x:row r="23">
      <x:c r="A23" s="2" t="str">
        <x:v>SKU1795</x:v>
      </x:c>
      <x:c r="B23" s="2" t="str">
        <x:v>Product 1795</x:v>
      </x:c>
      <x:c r="C23" s="7" t="n">
        <x:v>2639.0348</x:v>
      </x:c>
      <x:c r="D23" s="7" t="n">
        <x:v>703.9673</x:v>
      </x:c>
      <x:c r="E23" s="9" t="n">
        <x:v>327</x:v>
      </x:c>
      <x:c r="F23" s="2"/>
      <x:c r="O23" t="str">
        <x:f>'Stores'!A4</x:f>
        <x:v>Store C</x:v>
      </x:c>
      <x:c r="P23" t="n">
        <x:f>'Stores'!B4</x:f>
        <x:v>94542.2456</x:v>
      </x:c>
    </x:row>
    <x:row r="24">
      <x:c r="A24" s="2" t="str">
        <x:v>SKU0668</x:v>
      </x:c>
      <x:c r="B24" s="2" t="str">
        <x:v>Product 0668</x:v>
      </x:c>
      <x:c r="C24" s="7" t="n">
        <x:v>2612.0266</x:v>
      </x:c>
      <x:c r="D24" s="7" t="n">
        <x:v>771.7004</x:v>
      </x:c>
      <x:c r="E24" s="9" t="n">
        <x:v>696</x:v>
      </x:c>
      <x:c r="F24" s="2"/>
    </x:row>
    <x:row r="27">
      <x:c r="A27" s="85" t="str">
        <x:v>Store performance</x:v>
      </x:c>
      <x:c r="B27" s="85"/>
      <x:c r="C27" s="85"/>
      <x:c r="D27" s="85"/>
      <x:c r="E27" s="85"/>
      <x:c r="F27" s="85"/>
    </x:row>
    <x:row r="28">
      <x:c r="A28" s="6" t="str">
        <x:v>Location</x:v>
      </x:c>
      <x:c r="B28" s="6" t="str">
        <x:v>Revenue</x:v>
      </x:c>
      <x:c r="C28" s="6" t="str">
        <x:v>Profit</x:v>
      </x:c>
      <x:c r="D28" s="6" t="str">
        <x:v>Units</x:v>
      </x:c>
      <x:c r="E28" s="6" t="str">
        <x:v>Transactions</x:v>
      </x:c>
      <x:c r="F28" s="6" t="str">
        <x:v>Average Basket</x:v>
      </x:c>
    </x:row>
    <x:row r="29">
      <x:c r="A29" s="2" t="str">
        <x:v>Store A</x:v>
      </x:c>
      <x:c r="B29" s="7" t="n">
        <x:v>64680.8127</x:v>
      </x:c>
      <x:c r="C29" s="7" t="n">
        <x:v>22745.1801</x:v>
      </x:c>
      <x:c r="D29" s="9" t="n">
        <x:v>68444.953</x:v>
      </x:c>
      <x:c r="E29" s="9" t="n">
        <x:v>17704</x:v>
      </x:c>
      <x:c r="F29" s="11" t="n">
        <x:v>3.6535</x:v>
      </x:c>
    </x:row>
    <x:row r="30">
      <x:c r="A30" s="2" t="str">
        <x:v>Store B</x:v>
      </x:c>
      <x:c r="B30" s="7" t="n">
        <x:v>72389.6619</x:v>
      </x:c>
      <x:c r="C30" s="7" t="n">
        <x:v>25658.6616</x:v>
      </x:c>
      <x:c r="D30" s="9" t="n">
        <x:v>70683.879</x:v>
      </x:c>
      <x:c r="E30" s="9" t="n">
        <x:v>21851</x:v>
      </x:c>
      <x:c r="F30" s="11" t="n">
        <x:v>3.3129</x:v>
      </x:c>
    </x:row>
    <x:row r="31">
      <x:c r="A31" s="2" t="str">
        <x:v>Store C</x:v>
      </x:c>
      <x:c r="B31" s="7" t="n">
        <x:v>94542.2456</x:v>
      </x:c>
      <x:c r="C31" s="7" t="n">
        <x:v>33323.72</x:v>
      </x:c>
      <x:c r="D31" s="9" t="n">
        <x:v>84554</x:v>
      </x:c>
      <x:c r="E31" s="9" t="n">
        <x:v>27500</x:v>
      </x:c>
      <x:c r="F31" s="11" t="n">
        <x:v>3.4379</x:v>
      </x:c>
    </x:row>
    <x:row r="33">
      <x:c r="A33" s="74" t="str">
        <x:v>About the data</x:v>
      </x:c>
      <x:c r="B33" s="74"/>
      <x:c r="C33" s="74"/>
      <x:c r="D33" s="74"/>
      <x:c r="E33" s="74"/>
      <x:c r="F33" s="74"/>
    </x:row>
    <x:row r="34">
      <x:c r="A34" s="1" t="str">
        <x:v>Sales rows</x:v>
      </x:c>
      <x:c r="B34" s="1" t="n">
        <x:v>154695</x:v>
      </x:c>
      <x:c r="C34" s="1"/>
      <x:c r="D34" s="1"/>
      <x:c r="E34" s="1"/>
      <x:c r="F34" s="1"/>
    </x:row>
    <x:row r="35">
      <x:c r="A35" s="2" t="str">
        <x:v>Distinct SKUs</x:v>
      </x:c>
      <x:c r="B35" s="2" t="n">
        <x:v>1044</x:v>
      </x:c>
      <x:c r="C35" s="2"/>
      <x:c r="D35" s="2"/>
      <x:c r="E35" s="2"/>
      <x:c r="F35" s="2"/>
    </x:row>
    <x:row r="36">
      <x:c r="A36" s="2" t="str">
        <x:v>Months</x:v>
      </x:c>
      <x:c r="B36" s="2" t="n">
        <x:v>15</x:v>
      </x:c>
      <x:c r="C36" s="2"/>
      <x:c r="D36" s="2"/>
      <x:c r="E36" s="2"/>
      <x:c r="F36" s="2"/>
    </x:row>
    <x:row r="37">
      <x:c r="A37" s="2" t="str">
        <x:v>Channel rule</x:v>
      </x:c>
      <x:c r="B37" s="2" t="str">
        <x:v>Warehouse = wholesale; Stores A–C = retail</x:v>
      </x:c>
      <x:c r="C37" s="2"/>
      <x:c r="D37" s="2"/>
      <x:c r="E37" s="2"/>
      <x:c r="F37" s="2"/>
    </x:row>
    <x:row r="38">
      <x:c r="A38" s="75" t="str">
        <x:v>Privacy</x:v>
      </x:c>
      <x:c r="B38" s="75" t="str">
        <x:v>Identifiers anonymized; monetary values transformed consistently</x:v>
      </x:c>
      <x:c r="C38" s="75"/>
      <x:c r="D38" s="75"/>
      <x:c r="E38" s="75"/>
      <x:c r="F38" s="75"/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M5:N5"/>
    <x:mergeCell ref="M6:N8"/>
    <x:mergeCell ref="A10:F10"/>
    <x:mergeCell ref="A11:C11"/>
    <x:mergeCell ref="D11:F11"/>
    <x:mergeCell ref="A12:C12"/>
    <x:mergeCell ref="D12:F12"/>
    <x:mergeCell ref="A13:C13"/>
    <x:mergeCell ref="D13:F13"/>
    <x:mergeCell ref="A14:C14"/>
    <x:mergeCell ref="D14:F14"/>
    <x:mergeCell ref="A15:C15"/>
    <x:mergeCell ref="D15:F15"/>
    <x:mergeCell ref="A18:F18"/>
    <x:mergeCell ref="A27:F27"/>
    <x:mergeCell ref="A33:F33"/>
    <x:mergeCell ref="B34:F34"/>
    <x:mergeCell ref="B35:F35"/>
    <x:mergeCell ref="B36:F36"/>
    <x:mergeCell ref="B37:F37"/>
    <x:mergeCell ref="B38:F38"/>
  </x:mergeCells>
  <x:pageMargins left="0.7" right="0.7" top="0.75" bottom="0.75" header="0.3" footer="0.3"/>
  <x:drawing xmlns:r="http://schemas.openxmlformats.org/officeDocument/2006/relationships" r:id="Re76ee525a405443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6" t="str">
        <x:v>Month</x:v>
      </x:c>
      <x:c r="B1" s="6" t="str">
        <x:v>Retail Revenue</x:v>
      </x:c>
      <x:c r="C1" s="6" t="str">
        <x:v>Retail Profit</x:v>
      </x:c>
      <x:c r="D1" s="6" t="str">
        <x:v>Margin</x:v>
      </x:c>
      <x:c r="E1" s="6" t="str">
        <x:v>Transactions</x:v>
      </x:c>
      <x:c r="F1" s="6" t="str">
        <x:v>Units</x:v>
      </x:c>
      <x:c r="G1" s="6" t="str">
        <x:v>Average Basket</x:v>
      </x:c>
      <x:c r="H1" s="6" t="str">
        <x:v>Wholesale Revenue</x:v>
      </x:c>
    </x:row>
    <x:row r="2">
      <x:c r="A2" s="2" t="str">
        <x:v>2025-05</x:v>
      </x:c>
      <x:c r="B2" s="7" t="n">
        <x:v>16987.6598</x:v>
      </x:c>
      <x:c r="C2" s="7" t="n">
        <x:v>6002.3444</x:v>
      </x:c>
      <x:c r="D2" s="8" t="n">
        <x:v>0.3533</x:v>
      </x:c>
      <x:c r="E2" s="9" t="n">
        <x:v>5017</x:v>
      </x:c>
      <x:c r="F2" s="9" t="n">
        <x:v>16169</x:v>
      </x:c>
      <x:c r="G2" s="10" t="n">
        <x:v>3.3860194937213475</x:v>
      </x:c>
      <x:c r="H2" s="10" t="n">
        <x:v>4565.7772</x:v>
      </x:c>
    </x:row>
    <x:row r="3">
      <x:c r="A3" s="2" t="str">
        <x:v>2025-06</x:v>
      </x:c>
      <x:c r="B3" s="7" t="n">
        <x:v>16678.9247</x:v>
      </x:c>
      <x:c r="C3" s="7" t="n">
        <x:v>5806.2513</x:v>
      </x:c>
      <x:c r="D3" s="8" t="n">
        <x:v>0.3481</x:v>
      </x:c>
      <x:c r="E3" s="9" t="n">
        <x:v>5154</x:v>
      </x:c>
      <x:c r="F3" s="9" t="n">
        <x:v>16502</x:v>
      </x:c>
      <x:c r="G3" s="10" t="n">
        <x:v>3.2361126697710514</x:v>
      </x:c>
      <x:c r="H3" s="10" t="n">
        <x:v>2030.2748</x:v>
      </x:c>
    </x:row>
    <x:row r="4">
      <x:c r="A4" s="2" t="str">
        <x:v>2025-07</x:v>
      </x:c>
      <x:c r="B4" s="7" t="n">
        <x:v>20908.3059</x:v>
      </x:c>
      <x:c r="C4" s="7" t="n">
        <x:v>6986.1349</x:v>
      </x:c>
      <x:c r="D4" s="8" t="n">
        <x:v>0.3341</x:v>
      </x:c>
      <x:c r="E4" s="9" t="n">
        <x:v>6557</x:v>
      </x:c>
      <x:c r="F4" s="9" t="n">
        <x:v>20285</x:v>
      </x:c>
      <x:c r="G4" s="10" t="n">
        <x:v>3.1887</x:v>
      </x:c>
      <x:c r="H4" s="10" t="n">
        <x:v>1589.3756</x:v>
      </x:c>
    </x:row>
    <x:row r="5">
      <x:c r="A5" s="2" t="str">
        <x:v>2025-08</x:v>
      </x:c>
      <x:c r="B5" s="7" t="n">
        <x:v>16936.175</x:v>
      </x:c>
      <x:c r="C5" s="7" t="n">
        <x:v>5216.3092</x:v>
      </x:c>
      <x:c r="D5" s="8" t="n">
        <x:v>0.308</x:v>
      </x:c>
      <x:c r="E5" s="9" t="n">
        <x:v>5409</x:v>
      </x:c>
      <x:c r="F5" s="9" t="n">
        <x:v>17615</x:v>
      </x:c>
      <x:c r="G5" s="10" t="n">
        <x:v>3.1311101867258273</x:v>
      </x:c>
      <x:c r="H5" s="10" t="n">
        <x:v>2393.7057</x:v>
      </x:c>
    </x:row>
    <x:row r="6">
      <x:c r="A6" s="2" t="str">
        <x:v>2025-09</x:v>
      </x:c>
      <x:c r="B6" s="7" t="n">
        <x:v>12444.2149</x:v>
      </x:c>
      <x:c r="C6" s="7" t="n">
        <x:v>4267.5073</x:v>
      </x:c>
      <x:c r="D6" s="8" t="n">
        <x:v>0.3429</x:v>
      </x:c>
      <x:c r="E6" s="9" t="n">
        <x:v>3845</x:v>
      </x:c>
      <x:c r="F6" s="9" t="n">
        <x:v>12607</x:v>
      </x:c>
      <x:c r="G6" s="10" t="n">
        <x:v>3.2364668140442134</x:v>
      </x:c>
      <x:c r="H6" s="10" t="n">
        <x:v>2507.4104</x:v>
      </x:c>
    </x:row>
    <x:row r="7">
      <x:c r="A7" s="2" t="str">
        <x:v>2025-10</x:v>
      </x:c>
      <x:c r="B7" s="7" t="n">
        <x:v>15425.5002</x:v>
      </x:c>
      <x:c r="C7" s="7" t="n">
        <x:v>5520.0407</x:v>
      </x:c>
      <x:c r="D7" s="8" t="n">
        <x:v>0.3579</x:v>
      </x:c>
      <x:c r="E7" s="9" t="n">
        <x:v>4541</x:v>
      </x:c>
      <x:c r="F7" s="9" t="n">
        <x:v>14844</x:v>
      </x:c>
      <x:c r="G7" s="10" t="n">
        <x:v>3.396939044263378</x:v>
      </x:c>
      <x:c r="H7" s="10" t="n">
        <x:v>1686.0444</x:v>
      </x:c>
    </x:row>
    <x:row r="8">
      <x:c r="A8" s="2" t="str">
        <x:v>2025-11</x:v>
      </x:c>
      <x:c r="B8" s="7" t="n">
        <x:v>14828.6389</x:v>
      </x:c>
      <x:c r="C8" s="7" t="n">
        <x:v>5450.7883</x:v>
      </x:c>
      <x:c r="D8" s="8" t="n">
        <x:v>0.3676</x:v>
      </x:c>
      <x:c r="E8" s="9" t="n">
        <x:v>3717</x:v>
      </x:c>
      <x:c r="F8" s="9" t="n">
        <x:v>12988</x:v>
      </x:c>
      <x:c r="G8" s="10" t="n">
        <x:v>3.989410519235943</x:v>
      </x:c>
      <x:c r="H8" s="10" t="n">
        <x:v>10548.0746</x:v>
      </x:c>
    </x:row>
    <x:row r="9">
      <x:c r="A9" s="2" t="str">
        <x:v>2025-12</x:v>
      </x:c>
      <x:c r="B9" s="7" t="n">
        <x:v>24908.383</x:v>
      </x:c>
      <x:c r="C9" s="7" t="n">
        <x:v>8849.1297</x:v>
      </x:c>
      <x:c r="D9" s="8" t="n">
        <x:v>0.3553</x:v>
      </x:c>
      <x:c r="E9" s="9" t="n">
        <x:v>5136</x:v>
      </x:c>
      <x:c r="F9" s="9" t="n">
        <x:v>19137</x:v>
      </x:c>
      <x:c r="G9" s="10" t="n">
        <x:v>4.84976304517134</x:v>
      </x:c>
      <x:c r="H9" s="10" t="n">
        <x:v>15168.6106</x:v>
      </x:c>
    </x:row>
    <x:row r="10">
      <x:c r="A10" s="2" t="str">
        <x:v>2026-01</x:v>
      </x:c>
      <x:c r="B10" s="7" t="n">
        <x:v>10719.9812</x:v>
      </x:c>
      <x:c r="C10" s="7" t="n">
        <x:v>3917.9192</x:v>
      </x:c>
      <x:c r="D10" s="8" t="n">
        <x:v>0.3655</x:v>
      </x:c>
      <x:c r="E10" s="9" t="n">
        <x:v>2916</x:v>
      </x:c>
      <x:c r="F10" s="9" t="n">
        <x:v>9101</x:v>
      </x:c>
      <x:c r="G10" s="10" t="n">
        <x:v>3.676262414266118</x:v>
      </x:c>
      <x:c r="H10" s="10" t="n">
        <x:v>2451.9657</x:v>
      </x:c>
    </x:row>
    <x:row r="11">
      <x:c r="A11" s="2" t="str">
        <x:v>2026-02</x:v>
      </x:c>
      <x:c r="B11" s="7" t="n">
        <x:v>13011.7689</x:v>
      </x:c>
      <x:c r="C11" s="7" t="n">
        <x:v>4606.0011</x:v>
      </x:c>
      <x:c r="D11" s="8" t="n">
        <x:v>0.354</x:v>
      </x:c>
      <x:c r="E11" s="9" t="n">
        <x:v>3578</x:v>
      </x:c>
      <x:c r="F11" s="9" t="n">
        <x:v>10636</x:v>
      </x:c>
      <x:c r="G11" s="10" t="n">
        <x:v>3.6366039407490214</x:v>
      </x:c>
      <x:c r="H11" s="10" t="n">
        <x:v>2387.3346</x:v>
      </x:c>
    </x:row>
    <x:row r="12">
      <x:c r="A12" s="2" t="str">
        <x:v>2026-03</x:v>
      </x:c>
      <x:c r="B12" s="7" t="n">
        <x:v>13539.7153</x:v>
      </x:c>
      <x:c r="C12" s="7" t="n">
        <x:v>4682.3227</x:v>
      </x:c>
      <x:c r="D12" s="8" t="n">
        <x:v>0.3458</x:v>
      </x:c>
      <x:c r="E12" s="9" t="n">
        <x:v>3607</x:v>
      </x:c>
      <x:c r="F12" s="9" t="n">
        <x:v>13868</x:v>
      </x:c>
      <x:c r="G12" s="10" t="n">
        <x:v>3.7537331023010814</x:v>
      </x:c>
      <x:c r="H12" s="10" t="n">
        <x:v>3129.4363</x:v>
      </x:c>
    </x:row>
    <x:row r="13">
      <x:c r="A13" s="2" t="str">
        <x:v>2026-04</x:v>
      </x:c>
      <x:c r="B13" s="7" t="n">
        <x:v>12863.1906</x:v>
      </x:c>
      <x:c r="C13" s="7" t="n">
        <x:v>4705.1624</x:v>
      </x:c>
      <x:c r="D13" s="8" t="n">
        <x:v>0.3658</x:v>
      </x:c>
      <x:c r="E13" s="9" t="n">
        <x:v>3900</x:v>
      </x:c>
      <x:c r="F13" s="9" t="n">
        <x:v>14228</x:v>
      </x:c>
      <x:c r="G13" s="10" t="n">
        <x:v>3.298254</x:v>
      </x:c>
      <x:c r="H13" s="10" t="n">
        <x:v>1565.9394</x:v>
      </x:c>
    </x:row>
    <x:row r="14">
      <x:c r="A14" s="2" t="str">
        <x:v>2026-05</x:v>
      </x:c>
      <x:c r="B14" s="7" t="n">
        <x:v>13767.2515</x:v>
      </x:c>
      <x:c r="C14" s="7" t="n">
        <x:v>4903.3058</x:v>
      </x:c>
      <x:c r="D14" s="8" t="n">
        <x:v>0.3562</x:v>
      </x:c>
      <x:c r="E14" s="9" t="n">
        <x:v>4131</x:v>
      </x:c>
      <x:c r="F14" s="9" t="n">
        <x:v>14833</x:v>
      </x:c>
      <x:c r="G14" s="10" t="n">
        <x:v>3.332667998063423</x:v>
      </x:c>
      <x:c r="H14" s="10" t="n">
        <x:v>2357.6774</x:v>
      </x:c>
    </x:row>
    <x:row r="15">
      <x:c r="A15" s="2" t="str">
        <x:v>2026-06</x:v>
      </x:c>
      <x:c r="B15" s="7" t="n">
        <x:v>12671.8922</x:v>
      </x:c>
      <x:c r="C15" s="7" t="n">
        <x:v>4726.9788</x:v>
      </x:c>
      <x:c r="D15" s="8" t="n">
        <x:v>0.373</x:v>
      </x:c>
      <x:c r="E15" s="9" t="n">
        <x:v>4353</x:v>
      </x:c>
      <x:c r="F15" s="9" t="n">
        <x:v>13953.754</x:v>
      </x:c>
      <x:c r="G15" s="10" t="n">
        <x:v>2.911071031472548</x:v>
      </x:c>
      <x:c r="H15" s="10" t="n">
        <x:v>2449.1703</x:v>
      </x:c>
    </x:row>
    <x:row r="16">
      <x:c r="A16" s="2" t="str">
        <x:v>2026-07</x:v>
      </x:c>
      <x:c r="B16" s="7" t="n">
        <x:v>15921.1181</x:v>
      </x:c>
      <x:c r="C16" s="7" t="n">
        <x:v>6087.3658</x:v>
      </x:c>
      <x:c r="D16" s="8" t="n">
        <x:v>0.3823</x:v>
      </x:c>
      <x:c r="E16" s="9" t="n">
        <x:v>5194</x:v>
      </x:c>
      <x:c r="F16" s="9" t="n">
        <x:v>16916.078</x:v>
      </x:c>
      <x:c r="G16" s="10" t="n">
        <x:v>3.0652903542549095</x:v>
      </x:c>
      <x:c r="H16" s="10" t="n">
        <x:v>1573.8513</x:v>
      </x:c>
    </x:row>
  </x:sheetData>
  <x:pageMargins left="0.7" right="0.7" top="0.75" bottom="0.75" header="0.3" footer="0.3"/>
  <x:tableParts count="1">
    <x:tablePart xmlns:r="http://schemas.openxmlformats.org/officeDocument/2006/relationships" r:id="R8ca363663f0842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Location</x:v>
      </x:c>
      <x:c r="B1" s="6" t="str">
        <x:v>Revenue</x:v>
      </x:c>
      <x:c r="C1" s="6" t="str">
        <x:v>Profit</x:v>
      </x:c>
      <x:c r="D1" s="6" t="str">
        <x:v>Units</x:v>
      </x:c>
      <x:c r="E1" s="6" t="str">
        <x:v>Transactions</x:v>
      </x:c>
      <x:c r="F1" s="6" t="str">
        <x:v>Average Basket</x:v>
      </x:c>
    </x:row>
    <x:row r="2">
      <x:c r="A2" s="2" t="str">
        <x:v>Store A</x:v>
      </x:c>
      <x:c r="B2" s="7" t="n">
        <x:v>64680.8127</x:v>
      </x:c>
      <x:c r="C2" s="7" t="n">
        <x:v>22745.1801</x:v>
      </x:c>
      <x:c r="D2" s="9" t="n">
        <x:v>68444.953</x:v>
      </x:c>
      <x:c r="E2" s="9" t="n">
        <x:v>17704</x:v>
      </x:c>
      <x:c r="F2" s="11" t="n">
        <x:v>3.6535</x:v>
      </x:c>
    </x:row>
    <x:row r="3">
      <x:c r="A3" s="2" t="str">
        <x:v>Store B</x:v>
      </x:c>
      <x:c r="B3" s="7" t="n">
        <x:v>72389.6619</x:v>
      </x:c>
      <x:c r="C3" s="7" t="n">
        <x:v>25658.6616</x:v>
      </x:c>
      <x:c r="D3" s="9" t="n">
        <x:v>70683.879</x:v>
      </x:c>
      <x:c r="E3" s="9" t="n">
        <x:v>21851</x:v>
      </x:c>
      <x:c r="F3" s="11" t="n">
        <x:v>3.3129</x:v>
      </x:c>
    </x:row>
    <x:row r="4">
      <x:c r="A4" s="2" t="str">
        <x:v>Store C</x:v>
      </x:c>
      <x:c r="B4" s="7" t="n">
        <x:v>94542.2456</x:v>
      </x:c>
      <x:c r="C4" s="7" t="n">
        <x:v>33323.72</x:v>
      </x:c>
      <x:c r="D4" s="9" t="n">
        <x:v>84554</x:v>
      </x:c>
      <x:c r="E4" s="9" t="n">
        <x:v>27500</x:v>
      </x:c>
      <x:c r="F4" s="11" t="n">
        <x:v>3.4379</x:v>
      </x:c>
    </x:row>
  </x:sheetData>
  <x:pageMargins left="0.7" right="0.7" top="0.75" bottom="0.75" header="0.3" footer="0.3"/>
  <x:tableParts count="1">
    <x:tablePart xmlns:r="http://schemas.openxmlformats.org/officeDocument/2006/relationships" r:id="Ra1ef7bc5ac5847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6" t="str">
        <x:v>Category</x:v>
      </x:c>
      <x:c r="B1" s="6" t="str">
        <x:v>Revenue</x:v>
      </x:c>
      <x:c r="C1" s="6" t="str">
        <x:v>Profit</x:v>
      </x:c>
      <x:c r="D1" s="6" t="str">
        <x:v>Units</x:v>
      </x:c>
    </x:row>
    <x:row r="2">
      <x:c r="A2" s="2" t="str">
        <x:v>Category 56</x:v>
      </x:c>
      <x:c r="B2" s="7" t="n">
        <x:v>23625.2777</x:v>
      </x:c>
      <x:c r="C2" s="7" t="n">
        <x:v>6850.3862</x:v>
      </x:c>
      <x:c r="D2" s="9" t="n">
        <x:v>15401.498</x:v>
      </x:c>
    </x:row>
    <x:row r="3">
      <x:c r="A3" s="2" t="str">
        <x:v>Category 20</x:v>
      </x:c>
      <x:c r="B3" s="7" t="n">
        <x:v>17927.7842</x:v>
      </x:c>
      <x:c r="C3" s="7" t="n">
        <x:v>8000.2373</x:v>
      </x:c>
      <x:c r="D3" s="9" t="n">
        <x:v>12874</x:v>
      </x:c>
    </x:row>
    <x:row r="4">
      <x:c r="A4" s="2" t="str">
        <x:v>Category 12</x:v>
      </x:c>
      <x:c r="B4" s="7" t="n">
        <x:v>17427.6096</x:v>
      </x:c>
      <x:c r="C4" s="7" t="n">
        <x:v>6595.9195</x:v>
      </x:c>
      <x:c r="D4" s="9" t="n">
        <x:v>13192</x:v>
      </x:c>
    </x:row>
    <x:row r="5">
      <x:c r="A5" s="2" t="str">
        <x:v>Category 64</x:v>
      </x:c>
      <x:c r="B5" s="7" t="n">
        <x:v>14589.3416</x:v>
      </x:c>
      <x:c r="C5" s="7" t="n">
        <x:v>4286.4767</x:v>
      </x:c>
      <x:c r="D5" s="9" t="n">
        <x:v>1722</x:v>
      </x:c>
    </x:row>
    <x:row r="6">
      <x:c r="A6" s="2" t="str">
        <x:v>Category 06</x:v>
      </x:c>
      <x:c r="B6" s="7" t="n">
        <x:v>10353.8931</x:v>
      </x:c>
      <x:c r="C6" s="7" t="n">
        <x:v>1601.8344</x:v>
      </x:c>
      <x:c r="D6" s="9" t="n">
        <x:v>13837</x:v>
      </x:c>
    </x:row>
    <x:row r="7">
      <x:c r="A7" s="2" t="str">
        <x:v>Category 26</x:v>
      </x:c>
      <x:c r="B7" s="7" t="n">
        <x:v>10198.1353</x:v>
      </x:c>
      <x:c r="C7" s="7" t="n">
        <x:v>4597.0886</x:v>
      </x:c>
      <x:c r="D7" s="9" t="n">
        <x:v>10744</x:v>
      </x:c>
    </x:row>
    <x:row r="8">
      <x:c r="A8" s="2" t="str">
        <x:v>Category 27</x:v>
      </x:c>
      <x:c r="B8" s="7" t="n">
        <x:v>9108.7686</x:v>
      </x:c>
      <x:c r="C8" s="7" t="n">
        <x:v>2852.4535</x:v>
      </x:c>
      <x:c r="D8" s="9" t="n">
        <x:v>2368</x:v>
      </x:c>
    </x:row>
    <x:row r="9">
      <x:c r="A9" s="2" t="str">
        <x:v>Category 22</x:v>
      </x:c>
      <x:c r="B9" s="7" t="n">
        <x:v>8927.8535</x:v>
      </x:c>
      <x:c r="C9" s="7" t="n">
        <x:v>3445.5935</x:v>
      </x:c>
      <x:c r="D9" s="9" t="n">
        <x:v>8055</x:v>
      </x:c>
    </x:row>
    <x:row r="10">
      <x:c r="A10" s="2" t="str">
        <x:v>Category 31</x:v>
      </x:c>
      <x:c r="B10" s="7" t="n">
        <x:v>8762.4843</x:v>
      </x:c>
      <x:c r="C10" s="7" t="n">
        <x:v>2737.6131</x:v>
      </x:c>
      <x:c r="D10" s="9" t="n">
        <x:v>6787</x:v>
      </x:c>
    </x:row>
    <x:row r="11">
      <x:c r="A11" s="2" t="str">
        <x:v>Category 32</x:v>
      </x:c>
      <x:c r="B11" s="7" t="n">
        <x:v>8521.4772</x:v>
      </x:c>
      <x:c r="C11" s="7" t="n">
        <x:v>3047.0303</x:v>
      </x:c>
      <x:c r="D11" s="9" t="n">
        <x:v>6163</x:v>
      </x:c>
    </x:row>
    <x:row r="12">
      <x:c r="A12" s="2" t="str">
        <x:v>Category 24</x:v>
      </x:c>
      <x:c r="B12" s="7" t="n">
        <x:v>8452.2386</x:v>
      </x:c>
      <x:c r="C12" s="7" t="n">
        <x:v>3478.12</x:v>
      </x:c>
      <x:c r="D12" s="9" t="n">
        <x:v>11015</x:v>
      </x:c>
    </x:row>
    <x:row r="13">
      <x:c r="A13" s="2" t="str">
        <x:v>Category 53</x:v>
      </x:c>
      <x:c r="B13" s="7" t="n">
        <x:v>7138.1411</x:v>
      </x:c>
      <x:c r="C13" s="7" t="n">
        <x:v>2085.7249</x:v>
      </x:c>
      <x:c r="D13" s="9" t="n">
        <x:v>2227</x:v>
      </x:c>
    </x:row>
  </x:sheetData>
  <x:pageMargins left="0.7" right="0.7" top="0.75" bottom="0.75" header="0.3" footer="0.3"/>
  <x:tableParts count="1">
    <x:tablePart xmlns:r="http://schemas.openxmlformats.org/officeDocument/2006/relationships" r:id="R053c80b7f8874f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</x:cols>
  <x:sheetData>
    <x:row r="1">
      <x:c r="A1" s="6" t="str">
        <x:v>SKU</x:v>
      </x:c>
      <x:c r="B1" s="6" t="str">
        <x:v>Product</x:v>
      </x:c>
      <x:c r="C1" s="6" t="str">
        <x:v>Revenue</x:v>
      </x:c>
      <x:c r="D1" s="6" t="str">
        <x:v>Profit</x:v>
      </x:c>
      <x:c r="E1" s="6" t="str">
        <x:v>Units</x:v>
      </x:c>
    </x:row>
    <x:row r="2">
      <x:c r="A2" s="2" t="str">
        <x:v>SKU1787</x:v>
      </x:c>
      <x:c r="B2" s="2" t="str">
        <x:v>Product 1787</x:v>
      </x:c>
      <x:c r="C2" s="7" t="n">
        <x:v>6531.6269</x:v>
      </x:c>
      <x:c r="D2" s="7" t="n">
        <x:v>1973.5992</x:v>
      </x:c>
      <x:c r="E2" s="9" t="n">
        <x:v>2392</x:v>
      </x:c>
    </x:row>
    <x:row r="3">
      <x:c r="A3" s="2" t="str">
        <x:v>SKU0581</x:v>
      </x:c>
      <x:c r="B3" s="2" t="str">
        <x:v>Product 0581</x:v>
      </x:c>
      <x:c r="C3" s="7" t="n">
        <x:v>3265.1951</x:v>
      </x:c>
      <x:c r="D3" s="7" t="n">
        <x:v>1414.1218</x:v>
      </x:c>
      <x:c r="E3" s="9" t="n">
        <x:v>288</x:v>
      </x:c>
    </x:row>
    <x:row r="4">
      <x:c r="A4" s="2" t="str">
        <x:v>SKU1790</x:v>
      </x:c>
      <x:c r="B4" s="2" t="str">
        <x:v>Product 1790</x:v>
      </x:c>
      <x:c r="C4" s="7" t="n">
        <x:v>3231.4473</x:v>
      </x:c>
      <x:c r="D4" s="7" t="n">
        <x:v>900.9156</x:v>
      </x:c>
      <x:c r="E4" s="9" t="n">
        <x:v>1233</x:v>
      </x:c>
    </x:row>
    <x:row r="5">
      <x:c r="A5" s="2" t="str">
        <x:v>SKU1795</x:v>
      </x:c>
      <x:c r="B5" s="2" t="str">
        <x:v>Product 1795</x:v>
      </x:c>
      <x:c r="C5" s="7" t="n">
        <x:v>2639.0348</x:v>
      </x:c>
      <x:c r="D5" s="7" t="n">
        <x:v>703.9673</x:v>
      </x:c>
      <x:c r="E5" s="9" t="n">
        <x:v>327</x:v>
      </x:c>
    </x:row>
    <x:row r="6">
      <x:c r="A6" s="2" t="str">
        <x:v>SKU0668</x:v>
      </x:c>
      <x:c r="B6" s="2" t="str">
        <x:v>Product 0668</x:v>
      </x:c>
      <x:c r="C6" s="7" t="n">
        <x:v>2612.0266</x:v>
      </x:c>
      <x:c r="D6" s="7" t="n">
        <x:v>771.7004</x:v>
      </x:c>
      <x:c r="E6" s="9" t="n">
        <x:v>696</x:v>
      </x:c>
    </x:row>
    <x:row r="7">
      <x:c r="A7" s="2" t="str">
        <x:v>SKU0021</x:v>
      </x:c>
      <x:c r="B7" s="2" t="str">
        <x:v>Product 0021</x:v>
      </x:c>
      <x:c r="C7" s="7" t="n">
        <x:v>2561.5626</x:v>
      </x:c>
      <x:c r="D7" s="7" t="n">
        <x:v>731.1596</x:v>
      </x:c>
      <x:c r="E7" s="9" t="n">
        <x:v>130</x:v>
      </x:c>
    </x:row>
    <x:row r="8">
      <x:c r="A8" s="2" t="str">
        <x:v>SKU1108</x:v>
      </x:c>
      <x:c r="B8" s="2" t="str">
        <x:v>Product 1108</x:v>
      </x:c>
      <x:c r="C8" s="7" t="n">
        <x:v>2493.7516</x:v>
      </x:c>
      <x:c r="D8" s="7" t="n">
        <x:v>759.9666</x:v>
      </x:c>
      <x:c r="E8" s="9" t="n">
        <x:v>170</x:v>
      </x:c>
    </x:row>
    <x:row r="9">
      <x:c r="A9" s="2" t="str">
        <x:v>SKU0666</x:v>
      </x:c>
      <x:c r="B9" s="2" t="str">
        <x:v>Product 0666</x:v>
      </x:c>
      <x:c r="C9" s="7" t="n">
        <x:v>2407.2822</x:v>
      </x:c>
      <x:c r="D9" s="7" t="n">
        <x:v>813.2733</x:v>
      </x:c>
      <x:c r="E9" s="9" t="n">
        <x:v>588</x:v>
      </x:c>
    </x:row>
    <x:row r="10">
      <x:c r="A10" s="2" t="str">
        <x:v>SKU0664</x:v>
      </x:c>
      <x:c r="B10" s="2" t="str">
        <x:v>Product 0664</x:v>
      </x:c>
      <x:c r="C10" s="7" t="n">
        <x:v>2147.1353</x:v>
      </x:c>
      <x:c r="D10" s="7" t="n">
        <x:v>638.8854</x:v>
      </x:c>
      <x:c r="E10" s="9" t="n">
        <x:v>568</x:v>
      </x:c>
    </x:row>
    <x:row r="11">
      <x:c r="A11" s="2" t="str">
        <x:v>SKU1404</x:v>
      </x:c>
      <x:c r="B11" s="2" t="str">
        <x:v>Product 1404</x:v>
      </x:c>
      <x:c r="C11" s="7" t="n">
        <x:v>2107.1708</x:v>
      </x:c>
      <x:c r="D11" s="7" t="n">
        <x:v>876.591</x:v>
      </x:c>
      <x:c r="E11" s="9" t="n">
        <x:v>2192</x:v>
      </x:c>
    </x:row>
    <x:row r="12">
      <x:c r="A12" s="2" t="str">
        <x:v>SKU1077</x:v>
      </x:c>
      <x:c r="B12" s="2" t="str">
        <x:v>Product 1077</x:v>
      </x:c>
      <x:c r="C12" s="7" t="n">
        <x:v>2017.398</x:v>
      </x:c>
      <x:c r="D12" s="7" t="n">
        <x:v>980.1188</x:v>
      </x:c>
      <x:c r="E12" s="9" t="n">
        <x:v>1230</x:v>
      </x:c>
    </x:row>
    <x:row r="13">
      <x:c r="A13" s="2" t="str">
        <x:v>SKU0532</x:v>
      </x:c>
      <x:c r="B13" s="2" t="str">
        <x:v>Product 0532</x:v>
      </x:c>
      <x:c r="C13" s="7" t="n">
        <x:v>2006.3092</x:v>
      </x:c>
      <x:c r="D13" s="7" t="n">
        <x:v>950.8145</x:v>
      </x:c>
      <x:c r="E13" s="9" t="n">
        <x:v>675</x:v>
      </x:c>
    </x:row>
    <x:row r="14">
      <x:c r="A14" s="2" t="str">
        <x:v>SKU1686</x:v>
      </x:c>
      <x:c r="B14" s="2" t="str">
        <x:v>Product 1686</x:v>
      </x:c>
      <x:c r="C14" s="7" t="n">
        <x:v>1959.5553</x:v>
      </x:c>
      <x:c r="D14" s="7" t="n">
        <x:v>763.4917</x:v>
      </x:c>
      <x:c r="E14" s="9" t="n">
        <x:v>1508</x:v>
      </x:c>
    </x:row>
    <x:row r="15">
      <x:c r="A15" s="2" t="str">
        <x:v>SKU1326</x:v>
      </x:c>
      <x:c r="B15" s="2" t="str">
        <x:v>Product 1326</x:v>
      </x:c>
      <x:c r="C15" s="7" t="n">
        <x:v>1825.834</x:v>
      </x:c>
      <x:c r="D15" s="7" t="n">
        <x:v>657.1268</x:v>
      </x:c>
      <x:c r="E15" s="9" t="n">
        <x:v>1315</x:v>
      </x:c>
    </x:row>
    <x:row r="16">
      <x:c r="A16" s="2" t="str">
        <x:v>SKU1321</x:v>
      </x:c>
      <x:c r="B16" s="2" t="str">
        <x:v>Product 1321</x:v>
      </x:c>
      <x:c r="C16" s="7" t="n">
        <x:v>1744.4857</x:v>
      </x:c>
      <x:c r="D16" s="7" t="n">
        <x:v>623.9339</x:v>
      </x:c>
      <x:c r="E16" s="9" t="n">
        <x:v>1262</x:v>
      </x:c>
    </x:row>
  </x:sheetData>
  <x:pageMargins left="0.7" right="0.7" top="0.75" bottom="0.75" header="0.3" footer="0.3"/>
  <x:tableParts count="1">
    <x:tablePart xmlns:r="http://schemas.openxmlformats.org/officeDocument/2006/relationships" r:id="Rfce0f823f7914e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6" t="str">
        <x:v>SKU</x:v>
      </x:c>
      <x:c r="B1" s="6" t="str">
        <x:v>Product</x:v>
      </x:c>
      <x:c r="C1" s="6" t="str">
        <x:v>Revenue</x:v>
      </x:c>
      <x:c r="D1" s="6" t="str">
        <x:v>Revenue Share</x:v>
      </x:c>
      <x:c r="E1" s="6" t="str">
        <x:v>Cumulative Share</x:v>
      </x:c>
      <x:c r="F1" s="6" t="str">
        <x:v>ABC</x:v>
      </x:c>
      <x:c r="G1" s="6" t="str">
        <x:v>Monthly Avg Units</x:v>
      </x:c>
      <x:c r="H1" s="6" t="str">
        <x:v>CV</x:v>
      </x:c>
      <x:c r="I1" s="6" t="str">
        <x:v>XYZ</x:v>
      </x:c>
      <x:c r="J1" s="6" t="str">
        <x:v>Segment</x:v>
      </x:c>
    </x:row>
    <x:row r="2">
      <x:c r="A2" s="2" t="str">
        <x:v>SKU1787</x:v>
      </x:c>
      <x:c r="B2" s="2" t="str">
        <x:v>Product 1787</x:v>
      </x:c>
      <x:c r="C2" s="7" t="n">
        <x:v>6531.6269</x:v>
      </x:c>
      <x:c r="D2" s="8" t="n">
        <x:v>0.0282</x:v>
      </x:c>
      <x:c r="E2" s="8" t="n">
        <x:v>0.0282</x:v>
      </x:c>
      <x:c r="F2" s="2" t="str">
        <x:v>A</x:v>
      </x:c>
      <x:c r="G2" s="12" t="n">
        <x:v>159.4667</x:v>
      </x:c>
      <x:c r="H2" s="12" t="n">
        <x:v>0.7483</x:v>
      </x:c>
      <x:c r="I2" s="2" t="str">
        <x:v>Y</x:v>
      </x:c>
      <x:c r="J2" s="2" t="str">
        <x:v>AY</x:v>
      </x:c>
    </x:row>
    <x:row r="3">
      <x:c r="A3" s="2" t="str">
        <x:v>SKU0581</x:v>
      </x:c>
      <x:c r="B3" s="2" t="str">
        <x:v>Product 0581</x:v>
      </x:c>
      <x:c r="C3" s="7" t="n">
        <x:v>3265.1951</x:v>
      </x:c>
      <x:c r="D3" s="8" t="n">
        <x:v>0.0141</x:v>
      </x:c>
      <x:c r="E3" s="8" t="n">
        <x:v>0.0423</x:v>
      </x:c>
      <x:c r="F3" s="2" t="str">
        <x:v>A</x:v>
      </x:c>
      <x:c r="G3" s="12" t="n">
        <x:v>19.2</x:v>
      </x:c>
      <x:c r="H3" s="12" t="n">
        <x:v>0.8629</x:v>
      </x:c>
      <x:c r="I3" s="2" t="str">
        <x:v>Y</x:v>
      </x:c>
      <x:c r="J3" s="2" t="str">
        <x:v>AY</x:v>
      </x:c>
    </x:row>
    <x:row r="4">
      <x:c r="A4" s="2" t="str">
        <x:v>SKU1790</x:v>
      </x:c>
      <x:c r="B4" s="2" t="str">
        <x:v>Product 1790</x:v>
      </x:c>
      <x:c r="C4" s="7" t="n">
        <x:v>3231.4473</x:v>
      </x:c>
      <x:c r="D4" s="8" t="n">
        <x:v>0.0139</x:v>
      </x:c>
      <x:c r="E4" s="8" t="n">
        <x:v>0.0562</x:v>
      </x:c>
      <x:c r="F4" s="2" t="str">
        <x:v>A</x:v>
      </x:c>
      <x:c r="G4" s="12" t="n">
        <x:v>82.2</x:v>
      </x:c>
      <x:c r="H4" s="12" t="n">
        <x:v>0.8974</x:v>
      </x:c>
      <x:c r="I4" s="2" t="str">
        <x:v>Y</x:v>
      </x:c>
      <x:c r="J4" s="2" t="str">
        <x:v>AY</x:v>
      </x:c>
    </x:row>
    <x:row r="5">
      <x:c r="A5" s="2" t="str">
        <x:v>SKU1795</x:v>
      </x:c>
      <x:c r="B5" s="2" t="str">
        <x:v>Product 1795</x:v>
      </x:c>
      <x:c r="C5" s="7" t="n">
        <x:v>2639.0348</x:v>
      </x:c>
      <x:c r="D5" s="8" t="n">
        <x:v>0.0114</x:v>
      </x:c>
      <x:c r="E5" s="8" t="n">
        <x:v>0.0676</x:v>
      </x:c>
      <x:c r="F5" s="2" t="str">
        <x:v>A</x:v>
      </x:c>
      <x:c r="G5" s="12" t="n">
        <x:v>21.8</x:v>
      </x:c>
      <x:c r="H5" s="12" t="n">
        <x:v>0.6039</x:v>
      </x:c>
      <x:c r="I5" s="2" t="str">
        <x:v>Y</x:v>
      </x:c>
      <x:c r="J5" s="2" t="str">
        <x:v>AY</x:v>
      </x:c>
    </x:row>
    <x:row r="6">
      <x:c r="A6" s="2" t="str">
        <x:v>SKU0668</x:v>
      </x:c>
      <x:c r="B6" s="2" t="str">
        <x:v>Product 0668</x:v>
      </x:c>
      <x:c r="C6" s="7" t="n">
        <x:v>2612.0266</x:v>
      </x:c>
      <x:c r="D6" s="8" t="n">
        <x:v>0.0113</x:v>
      </x:c>
      <x:c r="E6" s="8" t="n">
        <x:v>0.0788</x:v>
      </x:c>
      <x:c r="F6" s="2" t="str">
        <x:v>A</x:v>
      </x:c>
      <x:c r="G6" s="12" t="n">
        <x:v>46.4</x:v>
      </x:c>
      <x:c r="H6" s="12" t="n">
        <x:v>0.6037</x:v>
      </x:c>
      <x:c r="I6" s="2" t="str">
        <x:v>Y</x:v>
      </x:c>
      <x:c r="J6" s="2" t="str">
        <x:v>AY</x:v>
      </x:c>
    </x:row>
    <x:row r="7">
      <x:c r="A7" s="2" t="str">
        <x:v>SKU0021</x:v>
      </x:c>
      <x:c r="B7" s="2" t="str">
        <x:v>Product 0021</x:v>
      </x:c>
      <x:c r="C7" s="7" t="n">
        <x:v>2561.5626</x:v>
      </x:c>
      <x:c r="D7" s="8" t="n">
        <x:v>0.011</x:v>
      </x:c>
      <x:c r="E7" s="8" t="n">
        <x:v>0.0899</x:v>
      </x:c>
      <x:c r="F7" s="2" t="str">
        <x:v>A</x:v>
      </x:c>
      <x:c r="G7" s="12" t="n">
        <x:v>8.6667</x:v>
      </x:c>
      <x:c r="H7" s="12" t="n">
        <x:v>1.6403</x:v>
      </x:c>
      <x:c r="I7" s="2" t="str">
        <x:v>Z</x:v>
      </x:c>
      <x:c r="J7" s="2" t="str">
        <x:v>AZ</x:v>
      </x:c>
    </x:row>
    <x:row r="8">
      <x:c r="A8" s="2" t="str">
        <x:v>SKU1108</x:v>
      </x:c>
      <x:c r="B8" s="2" t="str">
        <x:v>Product 1108</x:v>
      </x:c>
      <x:c r="C8" s="7" t="n">
        <x:v>2493.7516</x:v>
      </x:c>
      <x:c r="D8" s="8" t="n">
        <x:v>0.0108</x:v>
      </x:c>
      <x:c r="E8" s="8" t="n">
        <x:v>0.1006</x:v>
      </x:c>
      <x:c r="F8" s="2" t="str">
        <x:v>A</x:v>
      </x:c>
      <x:c r="G8" s="12" t="n">
        <x:v>11.3333</x:v>
      </x:c>
      <x:c r="H8" s="12" t="n">
        <x:v>1.159</x:v>
      </x:c>
      <x:c r="I8" s="2" t="str">
        <x:v>Z</x:v>
      </x:c>
      <x:c r="J8" s="2" t="str">
        <x:v>AZ</x:v>
      </x:c>
    </x:row>
    <x:row r="9">
      <x:c r="A9" s="2" t="str">
        <x:v>SKU0666</x:v>
      </x:c>
      <x:c r="B9" s="2" t="str">
        <x:v>Product 0666</x:v>
      </x:c>
      <x:c r="C9" s="7" t="n">
        <x:v>2407.2822</x:v>
      </x:c>
      <x:c r="D9" s="8" t="n">
        <x:v>0.0104</x:v>
      </x:c>
      <x:c r="E9" s="8" t="n">
        <x:v>0.111</x:v>
      </x:c>
      <x:c r="F9" s="2" t="str">
        <x:v>A</x:v>
      </x:c>
      <x:c r="G9" s="12" t="n">
        <x:v>39.2</x:v>
      </x:c>
      <x:c r="H9" s="12" t="n">
        <x:v>0.6444</x:v>
      </x:c>
      <x:c r="I9" s="2" t="str">
        <x:v>Y</x:v>
      </x:c>
      <x:c r="J9" s="2" t="str">
        <x:v>AY</x:v>
      </x:c>
    </x:row>
    <x:row r="10">
      <x:c r="A10" s="2" t="str">
        <x:v>SKU0664</x:v>
      </x:c>
      <x:c r="B10" s="2" t="str">
        <x:v>Product 0664</x:v>
      </x:c>
      <x:c r="C10" s="7" t="n">
        <x:v>2147.1353</x:v>
      </x:c>
      <x:c r="D10" s="8" t="n">
        <x:v>0.0093</x:v>
      </x:c>
      <x:c r="E10" s="8" t="n">
        <x:v>0.1203</x:v>
      </x:c>
      <x:c r="F10" s="2" t="str">
        <x:v>A</x:v>
      </x:c>
      <x:c r="G10" s="12" t="n">
        <x:v>37.8667</x:v>
      </x:c>
      <x:c r="H10" s="12" t="n">
        <x:v>0.5608</x:v>
      </x:c>
      <x:c r="I10" s="2" t="str">
        <x:v>Y</x:v>
      </x:c>
      <x:c r="J10" s="2" t="str">
        <x:v>AY</x:v>
      </x:c>
    </x:row>
    <x:row r="11">
      <x:c r="A11" s="2" t="str">
        <x:v>SKU1404</x:v>
      </x:c>
      <x:c r="B11" s="2" t="str">
        <x:v>Product 1404</x:v>
      </x:c>
      <x:c r="C11" s="7" t="n">
        <x:v>2107.1708</x:v>
      </x:c>
      <x:c r="D11" s="8" t="n">
        <x:v>0.0091</x:v>
      </x:c>
      <x:c r="E11" s="8" t="n">
        <x:v>0.1294</x:v>
      </x:c>
      <x:c r="F11" s="2" t="str">
        <x:v>A</x:v>
      </x:c>
      <x:c r="G11" s="12" t="n">
        <x:v>146.1333</x:v>
      </x:c>
      <x:c r="H11" s="12" t="n">
        <x:v>0.5669</x:v>
      </x:c>
      <x:c r="I11" s="2" t="str">
        <x:v>Y</x:v>
      </x:c>
      <x:c r="J11" s="2" t="str">
        <x:v>AY</x:v>
      </x:c>
    </x:row>
    <x:row r="12">
      <x:c r="A12" s="2" t="str">
        <x:v>SKU1077</x:v>
      </x:c>
      <x:c r="B12" s="2" t="str">
        <x:v>Product 1077</x:v>
      </x:c>
      <x:c r="C12" s="7" t="n">
        <x:v>2017.398</x:v>
      </x:c>
      <x:c r="D12" s="8" t="n">
        <x:v>0.0087</x:v>
      </x:c>
      <x:c r="E12" s="8" t="n">
        <x:v>0.1381</x:v>
      </x:c>
      <x:c r="F12" s="2" t="str">
        <x:v>A</x:v>
      </x:c>
      <x:c r="G12" s="12" t="n">
        <x:v>82</x:v>
      </x:c>
      <x:c r="H12" s="12" t="n">
        <x:v>0.5414</x:v>
      </x:c>
      <x:c r="I12" s="2" t="str">
        <x:v>Y</x:v>
      </x:c>
      <x:c r="J12" s="2" t="str">
        <x:v>AY</x:v>
      </x:c>
    </x:row>
    <x:row r="13">
      <x:c r="A13" s="2" t="str">
        <x:v>SKU0532</x:v>
      </x:c>
      <x:c r="B13" s="2" t="str">
        <x:v>Product 0532</x:v>
      </x:c>
      <x:c r="C13" s="7" t="n">
        <x:v>2006.3092</x:v>
      </x:c>
      <x:c r="D13" s="8" t="n">
        <x:v>0.0087</x:v>
      </x:c>
      <x:c r="E13" s="8" t="n">
        <x:v>0.1467</x:v>
      </x:c>
      <x:c r="F13" s="2" t="str">
        <x:v>A</x:v>
      </x:c>
      <x:c r="G13" s="12" t="n">
        <x:v>45</x:v>
      </x:c>
      <x:c r="H13" s="12" t="n">
        <x:v>0.5513</x:v>
      </x:c>
      <x:c r="I13" s="2" t="str">
        <x:v>Y</x:v>
      </x:c>
      <x:c r="J13" s="2" t="str">
        <x:v>AY</x:v>
      </x:c>
    </x:row>
    <x:row r="14">
      <x:c r="A14" s="2" t="str">
        <x:v>SKU1686</x:v>
      </x:c>
      <x:c r="B14" s="2" t="str">
        <x:v>Product 1686</x:v>
      </x:c>
      <x:c r="C14" s="7" t="n">
        <x:v>1959.5553</x:v>
      </x:c>
      <x:c r="D14" s="8" t="n">
        <x:v>0.0085</x:v>
      </x:c>
      <x:c r="E14" s="8" t="n">
        <x:v>0.1552</x:v>
      </x:c>
      <x:c r="F14" s="2" t="str">
        <x:v>A</x:v>
      </x:c>
      <x:c r="G14" s="12" t="n">
        <x:v>100.5333</x:v>
      </x:c>
      <x:c r="H14" s="12" t="n">
        <x:v>0.8865</x:v>
      </x:c>
      <x:c r="I14" s="2" t="str">
        <x:v>Y</x:v>
      </x:c>
      <x:c r="J14" s="2" t="str">
        <x:v>AY</x:v>
      </x:c>
    </x:row>
    <x:row r="15">
      <x:c r="A15" s="2" t="str">
        <x:v>SKU1326</x:v>
      </x:c>
      <x:c r="B15" s="2" t="str">
        <x:v>Product 1326</x:v>
      </x:c>
      <x:c r="C15" s="7" t="n">
        <x:v>1825.834</x:v>
      </x:c>
      <x:c r="D15" s="8" t="n">
        <x:v>0.0079</x:v>
      </x:c>
      <x:c r="E15" s="8" t="n">
        <x:v>0.163</x:v>
      </x:c>
      <x:c r="F15" s="2" t="str">
        <x:v>A</x:v>
      </x:c>
      <x:c r="G15" s="12" t="n">
        <x:v>87.6667</x:v>
      </x:c>
      <x:c r="H15" s="12" t="n">
        <x:v>0.6629</x:v>
      </x:c>
      <x:c r="I15" s="2" t="str">
        <x:v>Y</x:v>
      </x:c>
      <x:c r="J15" s="2" t="str">
        <x:v>AY</x:v>
      </x:c>
    </x:row>
    <x:row r="16">
      <x:c r="A16" s="2" t="str">
        <x:v>SKU1321</x:v>
      </x:c>
      <x:c r="B16" s="2" t="str">
        <x:v>Product 1321</x:v>
      </x:c>
      <x:c r="C16" s="7" t="n">
        <x:v>1744.4857</x:v>
      </x:c>
      <x:c r="D16" s="8" t="n">
        <x:v>0.0075</x:v>
      </x:c>
      <x:c r="E16" s="8" t="n">
        <x:v>0.1706</x:v>
      </x:c>
      <x:c r="F16" s="2" t="str">
        <x:v>A</x:v>
      </x:c>
      <x:c r="G16" s="12" t="n">
        <x:v>84.1333</x:v>
      </x:c>
      <x:c r="H16" s="12" t="n">
        <x:v>0.5668</x:v>
      </x:c>
      <x:c r="I16" s="2" t="str">
        <x:v>Y</x:v>
      </x:c>
      <x:c r="J16" s="2" t="str">
        <x:v>AY</x:v>
      </x:c>
    </x:row>
    <x:row r="17">
      <x:c r="A17" s="2" t="str">
        <x:v>SKU0633</x:v>
      </x:c>
      <x:c r="B17" s="2" t="str">
        <x:v>Product 0633</x:v>
      </x:c>
      <x:c r="C17" s="7" t="n">
        <x:v>1526.4862</x:v>
      </x:c>
      <x:c r="D17" s="8" t="n">
        <x:v>0.0066</x:v>
      </x:c>
      <x:c r="E17" s="8" t="n">
        <x:v>0.1771</x:v>
      </x:c>
      <x:c r="F17" s="2" t="str">
        <x:v>A</x:v>
      </x:c>
      <x:c r="G17" s="12" t="n">
        <x:v>51.9333</x:v>
      </x:c>
      <x:c r="H17" s="12" t="n">
        <x:v>0.4067</x:v>
      </x:c>
      <x:c r="I17" s="2" t="str">
        <x:v>X</x:v>
      </x:c>
      <x:c r="J17" s="2" t="str">
        <x:v>AX</x:v>
      </x:c>
    </x:row>
    <x:row r="18">
      <x:c r="A18" s="2" t="str">
        <x:v>SKU0655</x:v>
      </x:c>
      <x:c r="B18" s="2" t="str">
        <x:v>Product 0655</x:v>
      </x:c>
      <x:c r="C18" s="7" t="n">
        <x:v>1519.0826</x:v>
      </x:c>
      <x:c r="D18" s="8" t="n">
        <x:v>0.0066</x:v>
      </x:c>
      <x:c r="E18" s="8" t="n">
        <x:v>0.1837</x:v>
      </x:c>
      <x:c r="F18" s="2" t="str">
        <x:v>A</x:v>
      </x:c>
      <x:c r="G18" s="12" t="n">
        <x:v>63.4</x:v>
      </x:c>
      <x:c r="H18" s="12" t="n">
        <x:v>1.052</x:v>
      </x:c>
      <x:c r="I18" s="2" t="str">
        <x:v>Z</x:v>
      </x:c>
      <x:c r="J18" s="2" t="str">
        <x:v>AZ</x:v>
      </x:c>
    </x:row>
    <x:row r="19">
      <x:c r="A19" s="2" t="str">
        <x:v>SKU0247</x:v>
      </x:c>
      <x:c r="B19" s="2" t="str">
        <x:v>Product 0247</x:v>
      </x:c>
      <x:c r="C19" s="7" t="n">
        <x:v>1490.846</x:v>
      </x:c>
      <x:c r="D19" s="8" t="n">
        <x:v>0.0064</x:v>
      </x:c>
      <x:c r="E19" s="8" t="n">
        <x:v>0.1901</x:v>
      </x:c>
      <x:c r="F19" s="2" t="str">
        <x:v>A</x:v>
      </x:c>
      <x:c r="G19" s="12" t="n">
        <x:v>67.2667</x:v>
      </x:c>
      <x:c r="H19" s="12" t="n">
        <x:v>0.2635</x:v>
      </x:c>
      <x:c r="I19" s="2" t="str">
        <x:v>X</x:v>
      </x:c>
      <x:c r="J19" s="2" t="str">
        <x:v>AX</x:v>
      </x:c>
    </x:row>
    <x:row r="20">
      <x:c r="A20" s="2" t="str">
        <x:v>SKU1322</x:v>
      </x:c>
      <x:c r="B20" s="2" t="str">
        <x:v>Product 1322</x:v>
      </x:c>
      <x:c r="C20" s="7" t="n">
        <x:v>1468.1787</x:v>
      </x:c>
      <x:c r="D20" s="8" t="n">
        <x:v>0.0063</x:v>
      </x:c>
      <x:c r="E20" s="8" t="n">
        <x:v>0.1965</x:v>
      </x:c>
      <x:c r="F20" s="2" t="str">
        <x:v>A</x:v>
      </x:c>
      <x:c r="G20" s="12" t="n">
        <x:v>71.4</x:v>
      </x:c>
      <x:c r="H20" s="12" t="n">
        <x:v>0.4621</x:v>
      </x:c>
      <x:c r="I20" s="2" t="str">
        <x:v>X</x:v>
      </x:c>
      <x:c r="J20" s="2" t="str">
        <x:v>AX</x:v>
      </x:c>
    </x:row>
    <x:row r="21">
      <x:c r="A21" s="2" t="str">
        <x:v>SKU1384</x:v>
      </x:c>
      <x:c r="B21" s="2" t="str">
        <x:v>Product 1384</x:v>
      </x:c>
      <x:c r="C21" s="7" t="n">
        <x:v>1456.8492</x:v>
      </x:c>
      <x:c r="D21" s="8" t="n">
        <x:v>0.0063</x:v>
      </x:c>
      <x:c r="E21" s="8" t="n">
        <x:v>0.2027</x:v>
      </x:c>
      <x:c r="F21" s="2" t="str">
        <x:v>A</x:v>
      </x:c>
      <x:c r="G21" s="12" t="n">
        <x:v>115.6</x:v>
      </x:c>
      <x:c r="H21" s="12" t="n">
        <x:v>0.8389</x:v>
      </x:c>
      <x:c r="I21" s="2" t="str">
        <x:v>Y</x:v>
      </x:c>
      <x:c r="J21" s="2" t="str">
        <x:v>AY</x:v>
      </x:c>
    </x:row>
    <x:row r="22">
      <x:c r="A22" s="2" t="str">
        <x:v>SKU0680</x:v>
      </x:c>
      <x:c r="B22" s="2" t="str">
        <x:v>Product 0680</x:v>
      </x:c>
      <x:c r="C22" s="7" t="n">
        <x:v>1424.529</x:v>
      </x:c>
      <x:c r="D22" s="8" t="n">
        <x:v>0.0061</x:v>
      </x:c>
      <x:c r="E22" s="8" t="n">
        <x:v>0.2089</x:v>
      </x:c>
      <x:c r="F22" s="2" t="str">
        <x:v>A</x:v>
      </x:c>
      <x:c r="G22" s="12" t="n">
        <x:v>32</x:v>
      </x:c>
      <x:c r="H22" s="12" t="n">
        <x:v>0.6791</x:v>
      </x:c>
      <x:c r="I22" s="2" t="str">
        <x:v>Y</x:v>
      </x:c>
      <x:c r="J22" s="2" t="str">
        <x:v>AY</x:v>
      </x:c>
    </x:row>
    <x:row r="23">
      <x:c r="A23" s="2" t="str">
        <x:v>SKU1323</x:v>
      </x:c>
      <x:c r="B23" s="2" t="str">
        <x:v>Product 1323</x:v>
      </x:c>
      <x:c r="C23" s="7" t="n">
        <x:v>1392.0179</x:v>
      </x:c>
      <x:c r="D23" s="8" t="n">
        <x:v>0.006</x:v>
      </x:c>
      <x:c r="E23" s="8" t="n">
        <x:v>0.2149</x:v>
      </x:c>
      <x:c r="F23" s="2" t="str">
        <x:v>A</x:v>
      </x:c>
      <x:c r="G23" s="12" t="n">
        <x:v>66.9333</x:v>
      </x:c>
      <x:c r="H23" s="12" t="n">
        <x:v>0.7643</x:v>
      </x:c>
      <x:c r="I23" s="2" t="str">
        <x:v>Y</x:v>
      </x:c>
      <x:c r="J23" s="2" t="str">
        <x:v>AY</x:v>
      </x:c>
    </x:row>
    <x:row r="24">
      <x:c r="A24" s="2" t="str">
        <x:v>SKU1327</x:v>
      </x:c>
      <x:c r="B24" s="2" t="str">
        <x:v>Product 1327</x:v>
      </x:c>
      <x:c r="C24" s="7" t="n">
        <x:v>1333.2539</x:v>
      </x:c>
      <x:c r="D24" s="8" t="n">
        <x:v>0.0057</x:v>
      </x:c>
      <x:c r="E24" s="8" t="n">
        <x:v>0.2206</x:v>
      </x:c>
      <x:c r="F24" s="2" t="str">
        <x:v>A</x:v>
      </x:c>
      <x:c r="G24" s="12" t="n">
        <x:v>64.2667</x:v>
      </x:c>
      <x:c r="H24" s="12" t="n">
        <x:v>0.7504</x:v>
      </x:c>
      <x:c r="I24" s="2" t="str">
        <x:v>Y</x:v>
      </x:c>
      <x:c r="J24" s="2" t="str">
        <x:v>AY</x:v>
      </x:c>
    </x:row>
    <x:row r="25">
      <x:c r="A25" s="2" t="str">
        <x:v>SKU0667</x:v>
      </x:c>
      <x:c r="B25" s="2" t="str">
        <x:v>Product 0667</x:v>
      </x:c>
      <x:c r="C25" s="7" t="n">
        <x:v>1240.4682</x:v>
      </x:c>
      <x:c r="D25" s="8" t="n">
        <x:v>0.0053</x:v>
      </x:c>
      <x:c r="E25" s="8" t="n">
        <x:v>0.226</x:v>
      </x:c>
      <x:c r="F25" s="2" t="str">
        <x:v>A</x:v>
      </x:c>
      <x:c r="G25" s="12" t="n">
        <x:v>20</x:v>
      </x:c>
      <x:c r="H25" s="12" t="n">
        <x:v>0.8675</x:v>
      </x:c>
      <x:c r="I25" s="2" t="str">
        <x:v>Y</x:v>
      </x:c>
      <x:c r="J25" s="2" t="str">
        <x:v>AY</x:v>
      </x:c>
    </x:row>
    <x:row r="26">
      <x:c r="A26" s="2" t="str">
        <x:v>SKU0841</x:v>
      </x:c>
      <x:c r="B26" s="2" t="str">
        <x:v>Product 0841</x:v>
      </x:c>
      <x:c r="C26" s="7" t="n">
        <x:v>1215.3109</x:v>
      </x:c>
      <x:c r="D26" s="8" t="n">
        <x:v>0.0052</x:v>
      </x:c>
      <x:c r="E26" s="8" t="n">
        <x:v>0.2312</x:v>
      </x:c>
      <x:c r="F26" s="2" t="str">
        <x:v>A</x:v>
      </x:c>
      <x:c r="G26" s="12" t="n">
        <x:v>284</x:v>
      </x:c>
      <x:c r="H26" s="12" t="n">
        <x:v>0.2714</x:v>
      </x:c>
      <x:c r="I26" s="2" t="str">
        <x:v>X</x:v>
      </x:c>
      <x:c r="J26" s="2" t="str">
        <x:v>AX</x:v>
      </x:c>
    </x:row>
    <x:row r="27">
      <x:c r="A27" s="2" t="str">
        <x:v>SKU0803</x:v>
      </x:c>
      <x:c r="B27" s="2" t="str">
        <x:v>Product 0803</x:v>
      </x:c>
      <x:c r="C27" s="7" t="n">
        <x:v>1175.8195</x:v>
      </x:c>
      <x:c r="D27" s="8" t="n">
        <x:v>0.0051</x:v>
      </x:c>
      <x:c r="E27" s="8" t="n">
        <x:v>0.2363</x:v>
      </x:c>
      <x:c r="F27" s="2" t="str">
        <x:v>A</x:v>
      </x:c>
      <x:c r="G27" s="12" t="n">
        <x:v>60</x:v>
      </x:c>
      <x:c r="H27" s="12" t="n">
        <x:v>0.6235</x:v>
      </x:c>
      <x:c r="I27" s="2" t="str">
        <x:v>Y</x:v>
      </x:c>
      <x:c r="J27" s="2" t="str">
        <x:v>AY</x:v>
      </x:c>
    </x:row>
    <x:row r="28">
      <x:c r="A28" s="2" t="str">
        <x:v>SKU0941</x:v>
      </x:c>
      <x:c r="B28" s="2" t="str">
        <x:v>Product 0941</x:v>
      </x:c>
      <x:c r="C28" s="7" t="n">
        <x:v>1156.0074</x:v>
      </x:c>
      <x:c r="D28" s="8" t="n">
        <x:v>0.005</x:v>
      </x:c>
      <x:c r="E28" s="8" t="n">
        <x:v>0.2413</x:v>
      </x:c>
      <x:c r="F28" s="2" t="str">
        <x:v>A</x:v>
      </x:c>
      <x:c r="G28" s="12" t="n">
        <x:v>5.7333</x:v>
      </x:c>
      <x:c r="H28" s="12" t="n">
        <x:v>1.1001</x:v>
      </x:c>
      <x:c r="I28" s="2" t="str">
        <x:v>Z</x:v>
      </x:c>
      <x:c r="J28" s="2" t="str">
        <x:v>AZ</x:v>
      </x:c>
    </x:row>
    <x:row r="29">
      <x:c r="A29" s="2" t="str">
        <x:v>SKU0731</x:v>
      </x:c>
      <x:c r="B29" s="2" t="str">
        <x:v>Product 0731</x:v>
      </x:c>
      <x:c r="C29" s="7" t="n">
        <x:v>1119.919</x:v>
      </x:c>
      <x:c r="D29" s="8" t="n">
        <x:v>0.0048</x:v>
      </x:c>
      <x:c r="E29" s="8" t="n">
        <x:v>0.2461</x:v>
      </x:c>
      <x:c r="F29" s="2" t="str">
        <x:v>A</x:v>
      </x:c>
      <x:c r="G29" s="12" t="n">
        <x:v>21.7333</x:v>
      </x:c>
      <x:c r="H29" s="12" t="n">
        <x:v>1.4473</x:v>
      </x:c>
      <x:c r="I29" s="2" t="str">
        <x:v>Z</x:v>
      </x:c>
      <x:c r="J29" s="2" t="str">
        <x:v>AZ</x:v>
      </x:c>
    </x:row>
    <x:row r="30">
      <x:c r="A30" s="2" t="str">
        <x:v>SKU0546</x:v>
      </x:c>
      <x:c r="B30" s="2" t="str">
        <x:v>Product 0546</x:v>
      </x:c>
      <x:c r="C30" s="7" t="n">
        <x:v>1110.9882</x:v>
      </x:c>
      <x:c r="D30" s="8" t="n">
        <x:v>0.0048</x:v>
      </x:c>
      <x:c r="E30" s="8" t="n">
        <x:v>0.2509</x:v>
      </x:c>
      <x:c r="F30" s="2" t="str">
        <x:v>A</x:v>
      </x:c>
      <x:c r="G30" s="12" t="n">
        <x:v>9.4</x:v>
      </x:c>
      <x:c r="H30" s="12" t="n">
        <x:v>2.0435</x:v>
      </x:c>
      <x:c r="I30" s="2" t="str">
        <x:v>Z</x:v>
      </x:c>
      <x:c r="J30" s="2" t="str">
        <x:v>AZ</x:v>
      </x:c>
    </x:row>
    <x:row r="31">
      <x:c r="A31" s="2" t="str">
        <x:v>SKU1485</x:v>
      </x:c>
      <x:c r="B31" s="2" t="str">
        <x:v>Product 1485</x:v>
      </x:c>
      <x:c r="C31" s="7" t="n">
        <x:v>1083.7061</x:v>
      </x:c>
      <x:c r="D31" s="8" t="n">
        <x:v>0.0047</x:v>
      </x:c>
      <x:c r="E31" s="8" t="n">
        <x:v>0.2556</x:v>
      </x:c>
      <x:c r="F31" s="2" t="str">
        <x:v>A</x:v>
      </x:c>
      <x:c r="G31" s="12" t="n">
        <x:v>289.6</x:v>
      </x:c>
      <x:c r="H31" s="12" t="n">
        <x:v>0.5019</x:v>
      </x:c>
      <x:c r="I31" s="2" t="str">
        <x:v>Y</x:v>
      </x:c>
      <x:c r="J31" s="2" t="str">
        <x:v>AY</x:v>
      </x:c>
    </x:row>
  </x:sheetData>
  <x:pageMargins left="0.7" right="0.7" top="0.75" bottom="0.75" header="0.3" footer="0.3"/>
  <x:tableParts count="1">
    <x:tablePart xmlns:r="http://schemas.openxmlformats.org/officeDocument/2006/relationships" r:id="R3fc3ee78495742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16" t="str">
        <x:v>Project notes</x:v>
      </x:c>
      <x:c r="B1" s="16"/>
      <x:c r="C1" s="16"/>
      <x:c r="D1" s="16"/>
      <x:c r="E1" s="16"/>
      <x:c r="F1" s="16"/>
      <x:c r="G1" s="16"/>
      <x:c r="H1" s="16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 ht="24" customHeight="1">
      <x:c r="A3" s="19" t="str">
        <x:v>Why I built the analysis this way</x:v>
      </x:c>
      <x:c r="B3" s="19"/>
      <x:c r="C3" s="19"/>
      <x:c r="D3" s="19"/>
      <x:c r="E3" s="19"/>
      <x:c r="F3" s="19"/>
      <x:c r="G3" s="19"/>
      <x:c r="H3" s="19"/>
    </x:row>
    <x:row r="5" ht="48" customHeight="1">
      <x:c r="A5" s="86" t="str">
        <x:v>Starting point</x:v>
      </x:c>
      <x:c r="B5" s="90" t="str">
        <x:v>I had monthly exports that were useful separately but difficult to compare over time. I combined them into one consistent dataset.</x:v>
      </x:c>
      <x:c r="C5" s="90"/>
      <x:c r="D5" s="90"/>
      <x:c r="E5" s="90"/>
      <x:c r="F5" s="90"/>
      <x:c r="G5" s="90"/>
      <x:c r="H5" s="90"/>
    </x:row>
    <x:row r="6" ht="48" customHeight="1">
      <x:c r="A6" s="86" t="str">
        <x:v>Data</x:v>
      </x:c>
      <x:c r="B6" s="91" t="str">
        <x:v>154,695 sales lines, 15 months and 1,044 sold SKUs.</x:v>
      </x:c>
      <x:c r="C6" s="91"/>
      <x:c r="D6" s="91"/>
      <x:c r="E6" s="91"/>
      <x:c r="F6" s="91"/>
      <x:c r="G6" s="91"/>
      <x:c r="H6" s="91"/>
    </x:row>
    <x:row r="7" ht="48" customHeight="1">
      <x:c r="A7" s="86" t="str">
        <x:v>Main choice</x:v>
      </x:c>
      <x:c r="B7" s="91" t="str">
        <x:v>I kept wholesale separate. A few large warehouse invoices made retail receipt values and store comparisons misleading.</x:v>
      </x:c>
      <x:c r="C7" s="91"/>
      <x:c r="D7" s="91"/>
      <x:c r="E7" s="91"/>
      <x:c r="F7" s="91"/>
      <x:c r="G7" s="91"/>
      <x:c r="H7" s="91"/>
    </x:row>
    <x:row r="8" ht="48" customHeight="1">
      <x:c r="A8" s="86" t="str">
        <x:v>Cleaning</x:v>
      </x:c>
      <x:c r="B8" s="91" t="str">
        <x:v>I checked dates and product codes, removed personal fields, anonymized commercial data and kept negative return lines.</x:v>
      </x:c>
      <x:c r="C8" s="91"/>
      <x:c r="D8" s="91"/>
      <x:c r="E8" s="91"/>
      <x:c r="F8" s="91"/>
      <x:c r="G8" s="91"/>
      <x:c r="H8" s="91"/>
    </x:row>
    <x:row r="9" ht="48" customHeight="1">
      <x:c r="A9" s="86" t="str">
        <x:v>Result</x:v>
      </x:c>
      <x:c r="B9" s="91" t="str">
        <x:v>May–July 2026 revenue was 22.4% below the same period in 2025. Full-period margin was 35.3%.</x:v>
      </x:c>
      <x:c r="C9" s="91"/>
      <x:c r="D9" s="91"/>
      <x:c r="E9" s="91"/>
      <x:c r="F9" s="91"/>
      <x:c r="G9" s="91"/>
      <x:c r="H9" s="91"/>
    </x:row>
    <x:row r="10" ht="48" customHeight="1">
      <x:c r="A10" s="86" t="str">
        <x:v>What I would add</x:v>
      </x:c>
      <x:c r="B10" s="91" t="str">
        <x:v>Receipts from suppliers, transfers, write-offs, pack sizes and real lead times would make the stock model operational.</x:v>
      </x:c>
      <x:c r="C10" s="91"/>
      <x:c r="D10" s="91"/>
      <x:c r="E10" s="91"/>
      <x:c r="F10" s="91"/>
      <x:c r="G10" s="91"/>
      <x:c r="H10" s="91"/>
    </x:row>
    <x:row r="11" ht="48" customHeight="1">
      <x:c r="A11" s="86" t="str">
        <x:v>Files</x:v>
      </x:c>
      <x:c r="B11" s="92" t="str">
        <x:v>The cleaned CSV supports SQL and Power BI; this workbook is the Excel version of the same analysis.</x:v>
      </x:c>
      <x:c r="C11" s="92"/>
      <x:c r="D11" s="92"/>
      <x:c r="E11" s="92"/>
      <x:c r="F11" s="92"/>
      <x:c r="G11" s="92"/>
      <x:c r="H11" s="92"/>
    </x:row>
  </x:sheetData>
  <x:mergeCells>
    <x:mergeCell ref="A1:H2"/>
    <x:mergeCell ref="A3:H3"/>
    <x:mergeCell ref="B5:H5"/>
    <x:mergeCell ref="B6:H6"/>
    <x:mergeCell ref="B7:H7"/>
    <x:mergeCell ref="B8:H8"/>
    <x:mergeCell ref="B9:H9"/>
    <x:mergeCell ref="B10:H10"/>
    <x:mergeCell ref="B11:H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>
      <x:c r="A1" s="6" t="str">
        <x:v>Field</x:v>
      </x:c>
      <x:c r="B1" s="6" t="str">
        <x:v>Meaning</x:v>
      </x:c>
    </x:row>
    <x:row r="2">
      <x:c r="A2" s="2" t="str">
        <x:v>transaction_id</x:v>
      </x:c>
      <x:c r="B2" s="2" t="str">
        <x:v>Anonymized receipt/invoice identifier</x:v>
      </x:c>
    </x:row>
    <x:row r="3">
      <x:c r="A3" s="2" t="str">
        <x:v>date / time</x:v>
      </x:c>
      <x:c r="B3" s="2" t="str">
        <x:v>Transaction date and time</x:v>
      </x:c>
    </x:row>
    <x:row r="4">
      <x:c r="A4" s="2" t="str">
        <x:v>sku</x:v>
      </x:c>
      <x:c r="B4" s="2" t="str">
        <x:v>Anonymized product identifier</x:v>
      </x:c>
    </x:row>
    <x:row r="5">
      <x:c r="A5" s="2" t="str">
        <x:v>location</x:v>
      </x:c>
      <x:c r="B5" s="2" t="str">
        <x:v>Anonymized store or warehouse</x:v>
      </x:c>
    </x:row>
    <x:row r="6">
      <x:c r="A6" s="2" t="str">
        <x:v>channel</x:v>
      </x:c>
      <x:c r="B6" s="2" t="str">
        <x:v>Retail or Wholesale</x:v>
      </x:c>
    </x:row>
    <x:row r="7">
      <x:c r="A7" s="2" t="str">
        <x:v>quantity</x:v>
      </x:c>
      <x:c r="B7" s="2" t="str">
        <x:v>Units sold; negative values represent returns</x:v>
      </x:c>
    </x:row>
    <x:row r="8">
      <x:c r="A8" s="2" t="str">
        <x:v>gross_revenue</x:v>
      </x:c>
      <x:c r="B8" s="2" t="str">
        <x:v>Revenue including VAT, transformed by a constant factor</x:v>
      </x:c>
    </x:row>
    <x:row r="9">
      <x:c r="A9" s="2" t="str">
        <x:v>net_revenue</x:v>
      </x:c>
      <x:c r="B9" s="2" t="str">
        <x:v>Revenue excluding VAT</x:v>
      </x:c>
    </x:row>
    <x:row r="10">
      <x:c r="A10" s="2" t="str">
        <x:v>cost</x:v>
      </x:c>
      <x:c r="B10" s="2" t="str">
        <x:v>Cost of sold items</x:v>
      </x:c>
    </x:row>
    <x:row r="11">
      <x:c r="A11" s="2" t="str">
        <x:v>gross_profit</x:v>
      </x:c>
      <x:c r="B11" s="2" t="str">
        <x:v>Revenue less cost according to source report</x:v>
      </x:c>
    </x:row>
    <x:row r="12">
      <x:c r="A12" s="2" t="str">
        <x:v>discount_amount</x:v>
      </x:c>
      <x:c r="B12" s="2" t="str">
        <x:v>Discount value</x:v>
      </x:c>
    </x:row>
    <x:row r="13">
      <x:c r="A13" s="2" t="str">
        <x:v>discount_pct</x:v>
      </x:c>
      <x:c r="B13" s="2" t="str">
        <x:v>Source line discount percentage</x:v>
      </x:c>
    </x:row>
    <x:row r="14">
      <x:c r="A14" s="2" t="str">
        <x:v>is_return</x:v>
      </x:c>
      <x:c r="B14" s="2" t="str">
        <x:v>Return flag based on negative quantity or revenue</x:v>
      </x:c>
    </x:row>
  </x:sheetData>
  <x:pageMargins left="0.7" right="0.7" top="0.75" bottom="0.75" header="0.3" footer="0.3"/>
</x:worksheet>
</file>