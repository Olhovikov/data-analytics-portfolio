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c84e53c5942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627802fb7df4379"/>
    <x:sheet xmlns:r="http://schemas.openxmlformats.org/officeDocument/2006/relationships" name="Monthly" sheetId="2" r:id="Rb181689411e6450c"/>
    <x:sheet xmlns:r="http://schemas.openxmlformats.org/officeDocument/2006/relationships" name="Stores" sheetId="3" r:id="R09fa48a745b54209"/>
    <x:sheet xmlns:r="http://schemas.openxmlformats.org/officeDocument/2006/relationships" name="Categories" sheetId="4" r:id="R159b250c1d5b49d4"/>
    <x:sheet xmlns:r="http://schemas.openxmlformats.org/officeDocument/2006/relationships" name="Top Products" sheetId="5" r:id="Rdd23237bb48a4890"/>
    <x:sheet xmlns:r="http://schemas.openxmlformats.org/officeDocument/2006/relationships" name="ABC XYZ" sheetId="6" r:id="R1d343c37928e42ef"/>
    <x:sheet xmlns:r="http://schemas.openxmlformats.org/officeDocument/2006/relationships" name="Portfolio Guide" sheetId="7" r:id="Rff6677393add4d1d"/>
    <x:sheet xmlns:r="http://schemas.openxmlformats.org/officeDocument/2006/relationships" name="Data Dictionary" sheetId="8" r:id="R72c55397a5e74b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€#,##0"/>
    <x:numFmt numFmtId="201" formatCode="0.0%"/>
    <x:numFmt numFmtId="202" formatCode="#,##0"/>
    <x:numFmt numFmtId="203" formatCode="€#,##0.00"/>
    <x:numFmt numFmtId="204" formatCode="€0.00"/>
    <x:numFmt numFmtId="205" formatCode="0.00"/>
    <x:numFmt numFmtId="206" formatCode="@"/>
  </x:numFmts>
  <x:fonts count="18">
    <x:font>
      <x:sz val="11"/>
      <x:name val="Carlito"/>
    </x:font>
    <x:font>
      <x:b/>
      <x:sz val="11"/>
      <x:color rgb="FFFFFFFF"/>
      <x:name val="Carlito"/>
    </x:font>
    <x:font>
      <x:b/>
      <x:sz val="19"/>
      <x:color rgb="FF263238"/>
      <x:name val="Carlito"/>
    </x:font>
    <x:font>
      <x:sz val="11"/>
      <x:color rgb="FF6B747A"/>
      <x:name val="Carlito"/>
    </x:font>
    <x:font>
      <x:b/>
      <x:sz val="11"/>
      <x:color rgb="FF6B747A"/>
      <x:name val="Carlito"/>
    </x:font>
    <x:font>
      <x:b/>
      <x:sz val="18"/>
      <x:color rgb="FF263238"/>
      <x:name val="Carlito"/>
    </x:font>
    <x:font>
      <x:b/>
      <x:sz val="11"/>
      <x:color rgb="FF263238"/>
      <x:name val="Carlito"/>
    </x:font>
    <x:font>
      <x:b/>
      <x:sz val="11"/>
      <x:color rgb="FF356A8A"/>
      <x:name val="Carlito"/>
    </x:font>
    <x:font>
      <x:sz val="11"/>
      <x:color rgb="FF33413D"/>
      <x:name val="Arial"/>
    </x:font>
    <x:font>
      <x:b/>
      <x:sz val="11"/>
      <x:color rgb="FFFFFFFF"/>
      <x:name val="Arial"/>
    </x:font>
    <x:font>
      <x:b/>
      <x:sz val="11"/>
      <x:color rgb="FF245F46"/>
      <x:name val="Arial"/>
    </x:font>
    <x:font>
      <x:sz val="11"/>
      <x:color rgb="FF6E7C76"/>
      <x:name val="Arial"/>
    </x:font>
    <x:font>
      <x:b/>
      <x:sz val="11"/>
      <x:color rgb="FFC53A3A"/>
      <x:name val="Arial"/>
    </x:font>
    <x:font>
      <x:b/>
      <x:sz val="11"/>
      <x:color rgb="FF2D6D84"/>
      <x:name val="Arial"/>
    </x:font>
    <x:font>
      <x:sz val="11"/>
      <x:color rgb="FF33413D"/>
      <x:name val="Arial"/>
    </x:font>
    <x:font>
      <x:b/>
      <x:sz val="11"/>
      <x:color rgb="FF33413D"/>
      <x:name val="Arial"/>
    </x:font>
    <x:font>
      <x:b/>
      <x:sz val="19"/>
      <x:color rgb="FF33413D"/>
      <x:name val="Arial"/>
    </x:font>
    <x:font>
      <x:b/>
      <x:sz val="19"/>
      <x:color rgb="FF245F46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344955"/>
      </x:patternFill>
    </x:fill>
    <x:fill>
      <x:patternFill patternType="solid">
        <x:fgColor rgb="FFFFFFFF"/>
      </x:patternFill>
    </x:fill>
    <x:fill>
      <x:patternFill patternType="solid">
        <x:fgColor rgb="FFF7F8F8"/>
      </x:patternFill>
    </x:fill>
    <x:fill>
      <x:patternFill patternType="solid">
        <x:fgColor rgb="FFEAF1F5"/>
      </x:patternFill>
    </x:fill>
    <x:fill>
      <x:patternFill patternType="solid">
        <x:fgColor rgb="FFF4F6F5"/>
      </x:patternFill>
    </x:fill>
    <x:fill>
      <x:patternFill patternType="solid">
        <x:fgColor rgb="FFFFFFFF"/>
      </x:patternFill>
    </x:fill>
    <x:fill>
      <x:patternFill patternType="solid">
        <x:fgColor rgb="FF2F7D5A"/>
      </x:patternFill>
    </x:fill>
    <x:fill>
      <x:patternFill patternType="solid">
        <x:fgColor rgb="FFCDECDC"/>
      </x:patternFill>
    </x:fill>
    <x:fill>
      <x:patternFill patternType="solid">
        <x:fgColor rgb="FFEAF6F0"/>
      </x:patternFill>
    </x:fill>
    <x:fill>
      <x:patternFill patternType="solid">
        <x:fgColor rgb="FFFCE4E4"/>
      </x:patternFill>
    </x:fill>
    <x:fill>
      <x:patternFill patternType="solid">
        <x:fgColor rgb="FFE1F0F5"/>
      </x:patternFill>
    </x:fill>
    <x:fill>
      <x:patternFill patternType="solid">
        <x:fgColor rgb="FF9BD7B8"/>
      </x:patternFill>
    </x:fill>
  </x:fills>
  <x:borders count="38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bottom style="medium">
        <x:color rgb="FF356A8A"/>
      </x:bottom>
    </x:border>
    <x:border>
      <x:left style="thin">
        <x:color rgb="FFD8DEE3"/>
      </x:left>
      <x:top style="medium">
        <x:color rgb="FF356A8A"/>
      </x:top>
    </x:border>
    <x:border>
      <x:top style="medium">
        <x:color rgb="FF356A8A"/>
      </x:top>
    </x:border>
    <x:border>
      <x:right style="thin">
        <x:color rgb="FFD8DEE3"/>
      </x:right>
      <x:top style="medium">
        <x:color rgb="FF356A8A"/>
      </x:top>
    </x:border>
    <x:border>
      <x:left style="thin">
        <x:color rgb="FFD8DEE3"/>
      </x:left>
    </x:border>
    <x:border>
      <x:right style="thin">
        <x:color rgb="FFD8DEE3"/>
      </x:right>
    </x:border>
    <x:border>
      <x:left style="thin">
        <x:color rgb="FFD8DEE3"/>
      </x:left>
      <x:bottom style="thin">
        <x:color rgb="FFD8DEE3"/>
      </x:bottom>
    </x:border>
    <x:border>
      <x:right style="thin">
        <x:color rgb="FFD8DEE3"/>
      </x:right>
      <x:bottom style="thin">
        <x:color rgb="FFD8DEE3"/>
      </x:bottom>
    </x:border>
    <x:border>
      <x:top style="thin">
        <x:color rgb="FFD8DEE3"/>
      </x:top>
    </x:border>
    <x:border>
      <x:bottom style="medium">
        <x:color rgb="FF4B7B68"/>
      </x:bottom>
    </x:border>
    <x:border>
      <x:bottom style="medium">
        <x:color rgb="FFC96B32"/>
      </x:bottom>
    </x:border>
    <x:border>
      <x:right style="thin">
        <x:color rgb="FFD6E2DC"/>
      </x:right>
    </x:border>
    <x:border>
      <x:bottom style="medium">
        <x:color rgb="FF2F7D5A"/>
      </x:bottom>
    </x:border>
    <x:border>
      <x:left style="thin">
        <x:color rgb="FFFFFFFF"/>
      </x:left>
      <x:top style="thin">
        <x:color rgb="FFFFFFFF"/>
      </x:top>
    </x:border>
    <x:border>
      <x:right style="thin">
        <x:color rgb="FFFFFFFF"/>
      </x:right>
      <x:top style="thin">
        <x:color rgb="FFFFFFFF"/>
      </x:top>
    </x:border>
    <x:border>
      <x:left style="thin">
        <x:color rgb="FFFFFFFF"/>
      </x:left>
      <x:bottom style="thin">
        <x:color rgb="FFFFFFFF"/>
      </x:bottom>
    </x:border>
    <x:border>
      <x:right style="thin">
        <x:color rgb="FFFFFFFF"/>
      </x:right>
      <x:bottom style="thin">
        <x:color rgb="FFFFFFFF"/>
      </x:bottom>
    </x:border>
    <x:border>
      <x:left style="thin">
        <x:color rgb="FFFFFFFF"/>
      </x:left>
    </x:border>
    <x:border>
      <x:right style="thin">
        <x:color rgb="FFFFFFFF"/>
      </x:right>
    </x:border>
    <x:border>
      <x:left style="thin">
        <x:color rgb="FFD6E2DC"/>
      </x:left>
      <x:top style="thin">
        <x:color rgb="FFD6E2DC"/>
      </x:top>
    </x:border>
    <x:border>
      <x:right style="thin">
        <x:color rgb="FFD6E2DC"/>
      </x:right>
      <x:top style="thin">
        <x:color rgb="FFD6E2DC"/>
      </x:top>
    </x:border>
    <x:border>
      <x:left style="thin">
        <x:color rgb="FFD6E2DC"/>
      </x:left>
    </x:border>
    <x:border>
      <x:left style="thin">
        <x:color rgb="FFD6E2DC"/>
      </x:left>
      <x:bottom style="thin">
        <x:color rgb="FFD6E2DC"/>
      </x:bottom>
    </x:border>
    <x:border>
      <x:right style="thin">
        <x:color rgb="FFD6E2DC"/>
      </x:right>
      <x:bottom style="thin">
        <x:color rgb="FFD6E2DC"/>
      </x:bottom>
    </x:border>
    <x:border>
      <x:top style="thin">
        <x:color rgb="FFD6E2DC"/>
      </x:top>
    </x:border>
    <x:border>
      <x:bottom style="thin">
        <x:color rgb="FFD6E2DC"/>
      </x:bottom>
    </x:border>
    <x:border>
      <x:left style="thin">
        <x:color rgb="FFD6E2DC"/>
      </x:left>
      <x:bottom style="thin">
        <x:color rgb="FFFFFFFF"/>
      </x:bottom>
    </x:border>
    <x:border>
      <x:bottom style="thin">
        <x:color rgb="FFFFFFFF"/>
      </x:bottom>
    </x:border>
    <x:border>
      <x:right style="thin">
        <x:color rgb="FFD6E2DC"/>
      </x:right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6E2DC"/>
      </x:left>
      <x:right style="thin">
        <x:color rgb="FFD6E2DC"/>
      </x:right>
      <x:bottom style="thin">
        <x:color rgb="FFD6E2DC"/>
      </x:bottom>
    </x:border>
    <x:border>
      <x:right style="thin">
        <x:color rgb="FFD6E2DC"/>
      </x:right>
      <x:top style="thin">
        <x:color rgb="FFD6E2DC"/>
      </x:top>
      <x:bottom style="thin">
        <x:color rgb="FFD6E2DC"/>
      </x:bottom>
    </x:border>
    <x:border>
      <x:left style="thin">
        <x:color rgb="FFD6E2DC"/>
      </x:left>
      <x:right style="thin">
        <x:color rgb="FFD6E2DC"/>
      </x:right>
      <x:top style="thin">
        <x:color rgb="FFD6E2DC"/>
      </x:top>
      <x:bottom style="thin">
        <x:color rgb="FFD6E2DC"/>
      </x:bottom>
    </x:border>
    <x:border>
      <x:left style="thin">
        <x:color rgb="FFD6E2DC"/>
      </x:left>
      <x:top style="thin">
        <x:color rgb="FFD6E2DC"/>
      </x:top>
      <x:bottom style="thin">
        <x:color rgb="FFD6E2DC"/>
      </x:bottom>
    </x:border>
    <x:border>
      <x:top style="thin">
        <x:color rgb="FFD8DEE3"/>
      </x:top>
      <x:bottom style="thin">
        <x:color rgb="FFD6E2DC"/>
      </x:bottom>
    </x:border>
  </x:borders>
  <x:cellStyleXfs count="1">
    <x:xf numFmtId="0" fontId="0" fillId="0" borderId="0"/>
  </x:cellStyleXfs>
  <x:cellXfs count="382">
    <x:xf numFmtId="0" fontId="0" fillId="0" borderId="0" xfId="0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202" fontId="0" fillId="0" borderId="2" xfId="0" applyNumberFormat="1" applyFont="1" applyFill="1" applyBorder="1"/>
    <x:xf numFmtId="203" fontId="0" fillId="0" borderId="2" xfId="0" applyNumberFormat="1" applyFont="1" applyFill="1" applyBorder="1"/>
    <x:xf numFmtId="204" fontId="0" fillId="0" borderId="2" xfId="0" applyNumberFormat="1" applyFont="1" applyFill="1" applyBorder="1"/>
    <x:xf numFmtId="205" fontId="0" fillId="0" borderId="2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4" fillId="4" borderId="4" xfId="0" applyNumberFormat="1" applyFont="1" applyFill="1" applyBorder="1" applyAlignment="1">
      <x:alignment horizontal="center"/>
    </x:xf>
    <x:xf numFmtId="0" fontId="4" fillId="4" borderId="5" xfId="0" applyNumberFormat="1" applyFont="1" applyFill="1" applyBorder="1" applyAlignment="1">
      <x:alignment horizontal="center"/>
    </x:xf>
    <x:xf numFmtId="0" fontId="4" fillId="4" borderId="6" xfId="0" applyNumberFormat="1" applyFont="1" applyFill="1" applyBorder="1" applyAlignment="1">
      <x:alignment horizont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4" fillId="4" borderId="5" xfId="0" applyNumberFormat="1" applyFont="1" applyFill="1" applyBorder="1" applyAlignment="1">
      <x:alignment horizontal="center" vertical="center"/>
    </x:xf>
    <x:xf numFmtId="0" fontId="4" fillId="4" borderId="6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5" fillId="3" borderId="7" xfId="0" applyNumberFormat="1" applyFont="1" applyFill="1" applyBorder="1"/>
    <x:xf numFmtId="0" fontId="5" fillId="3" borderId="8" xfId="0" applyNumberFormat="1" applyFont="1" applyFill="1" applyBorder="1"/>
    <x:xf numFmtId="0" fontId="5" fillId="3" borderId="9" xfId="0" applyNumberFormat="1" applyFont="1" applyFill="1" applyBorder="1"/>
    <x:xf numFmtId="0" fontId="5" fillId="3" borderId="1" xfId="0" applyNumberFormat="1" applyFont="1" applyFill="1" applyBorder="1"/>
    <x:xf numFmtId="0" fontId="5" fillId="3" borderId="10" xfId="0" applyNumberFormat="1" applyFont="1" applyFill="1" applyBorder="1"/>
    <x:xf numFmtId="0" fontId="5" fillId="3" borderId="7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5" fillId="3" borderId="8" xfId="0" applyNumberFormat="1" applyFont="1" applyFill="1" applyBorder="1" applyAlignment="1">
      <x:alignment horizontal="center"/>
    </x:xf>
    <x:xf numFmtId="0" fontId="5" fillId="3" borderId="9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5" fillId="3" borderId="10" xfId="0" applyNumberFormat="1" applyFont="1" applyFill="1" applyBorder="1" applyAlignment="1">
      <x:alignment horizontal="center"/>
    </x:xf>
    <x:xf numFmtId="0" fontId="5" fillId="3" borderId="7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8" xfId="0" applyNumberFormat="1" applyFont="1" applyFill="1" applyBorder="1" applyAlignment="1">
      <x:alignment horizontal="center" vertical="center"/>
    </x:xf>
    <x:xf numFmtId="0" fontId="5" fillId="3" borderId="9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5" fillId="3" borderId="10" xfId="0" applyNumberFormat="1" applyFont="1" applyFill="1" applyBorder="1" applyAlignment="1">
      <x:alignment horizontal="center" vertical="center"/>
    </x:xf>
    <x:xf numFmtId="200" fontId="5" fillId="3" borderId="7" xfId="0" applyNumberFormat="1" applyFont="1" applyFill="1" applyBorder="1" applyAlignment="1">
      <x:alignment horizontal="center" vertical="center"/>
    </x:xf>
    <x:xf numFmtId="200" fontId="5" fillId="3" borderId="0" xfId="0" applyNumberFormat="1" applyFont="1" applyFill="1" applyBorder="1" applyAlignment="1">
      <x:alignment horizontal="center" vertical="center"/>
    </x:xf>
    <x:xf numFmtId="200" fontId="5" fillId="3" borderId="8" xfId="0" applyNumberFormat="1" applyFont="1" applyFill="1" applyBorder="1" applyAlignment="1">
      <x:alignment horizontal="center" vertical="center"/>
    </x:xf>
    <x:xf numFmtId="200" fontId="5" fillId="3" borderId="9" xfId="0" applyNumberFormat="1" applyFont="1" applyFill="1" applyBorder="1" applyAlignment="1">
      <x:alignment horizontal="center" vertical="center"/>
    </x:xf>
    <x:xf numFmtId="200" fontId="5" fillId="3" borderId="1" xfId="0" applyNumberFormat="1" applyFont="1" applyFill="1" applyBorder="1" applyAlignment="1">
      <x:alignment horizontal="center" vertical="center"/>
    </x:xf>
    <x:xf numFmtId="200" fontId="5" fillId="3" borderId="10" xfId="0" applyNumberFormat="1" applyFont="1" applyFill="1" applyBorder="1" applyAlignment="1">
      <x:alignment horizontal="center" vertical="center"/>
    </x:xf>
    <x:xf numFmtId="201" fontId="5" fillId="3" borderId="7" xfId="0" applyNumberFormat="1" applyFont="1" applyFill="1" applyBorder="1" applyAlignment="1">
      <x:alignment horizontal="center" vertical="center"/>
    </x:xf>
    <x:xf numFmtId="201" fontId="5" fillId="3" borderId="0" xfId="0" applyNumberFormat="1" applyFont="1" applyFill="1" applyBorder="1" applyAlignment="1">
      <x:alignment horizontal="center" vertical="center"/>
    </x:xf>
    <x:xf numFmtId="201" fontId="5" fillId="3" borderId="8" xfId="0" applyNumberFormat="1" applyFont="1" applyFill="1" applyBorder="1" applyAlignment="1">
      <x:alignment horizontal="center" vertical="center"/>
    </x:xf>
    <x:xf numFmtId="201" fontId="5" fillId="3" borderId="9" xfId="0" applyNumberFormat="1" applyFont="1" applyFill="1" applyBorder="1" applyAlignment="1">
      <x:alignment horizontal="center" vertical="center"/>
    </x:xf>
    <x:xf numFmtId="201" fontId="5" fillId="3" borderId="1" xfId="0" applyNumberFormat="1" applyFont="1" applyFill="1" applyBorder="1" applyAlignment="1">
      <x:alignment horizontal="center" vertical="center"/>
    </x:xf>
    <x:xf numFmtId="201" fontId="5" fillId="3" borderId="10" xfId="0" applyNumberFormat="1" applyFont="1" applyFill="1" applyBorder="1" applyAlignment="1">
      <x:alignment horizontal="center" vertical="center"/>
    </x:xf>
    <x:xf numFmtId="202" fontId="5" fillId="3" borderId="7" xfId="0" applyNumberFormat="1" applyFont="1" applyFill="1" applyBorder="1" applyAlignment="1">
      <x:alignment horizontal="center" vertical="center"/>
    </x:xf>
    <x:xf numFmtId="202" fontId="5" fillId="3" borderId="0" xfId="0" applyNumberFormat="1" applyFont="1" applyFill="1" applyBorder="1" applyAlignment="1">
      <x:alignment horizontal="center" vertical="center"/>
    </x:xf>
    <x:xf numFmtId="202" fontId="5" fillId="3" borderId="8" xfId="0" applyNumberFormat="1" applyFont="1" applyFill="1" applyBorder="1" applyAlignment="1">
      <x:alignment horizontal="center" vertical="center"/>
    </x:xf>
    <x:xf numFmtId="202" fontId="5" fillId="3" borderId="9" xfId="0" applyNumberFormat="1" applyFont="1" applyFill="1" applyBorder="1" applyAlignment="1">
      <x:alignment horizontal="center" vertical="center"/>
    </x:xf>
    <x:xf numFmtId="202" fontId="5" fillId="3" borderId="1" xfId="0" applyNumberFormat="1" applyFont="1" applyFill="1" applyBorder="1" applyAlignment="1">
      <x:alignment horizontal="center" vertical="center"/>
    </x:xf>
    <x:xf numFmtId="202" fontId="5" fillId="3" borderId="10" xfId="0" applyNumberFormat="1" applyFont="1" applyFill="1" applyBorder="1" applyAlignment="1">
      <x:alignment horizontal="center" vertical="center"/>
    </x:xf>
    <x:xf numFmtId="204" fontId="5" fillId="3" borderId="7" xfId="0" applyNumberFormat="1" applyFont="1" applyFill="1" applyBorder="1" applyAlignment="1">
      <x:alignment horizontal="center" vertical="center"/>
    </x:xf>
    <x:xf numFmtId="204" fontId="5" fillId="3" borderId="8" xfId="0" applyNumberFormat="1" applyFont="1" applyFill="1" applyBorder="1" applyAlignment="1">
      <x:alignment horizontal="center" vertical="center"/>
    </x:xf>
    <x:xf numFmtId="204" fontId="5" fillId="3" borderId="9" xfId="0" applyNumberFormat="1" applyFont="1" applyFill="1" applyBorder="1" applyAlignment="1">
      <x:alignment horizontal="center" vertical="center"/>
    </x:xf>
    <x:xf numFmtId="204" fontId="5" fillId="3" borderId="1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3" xfId="0" applyNumberFormat="1" applyFont="1" applyFill="1" applyBorder="1"/>
    <x:xf numFmtId="0" fontId="6" fillId="5" borderId="3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0" fontId="6" fillId="0" borderId="1" xfId="0" applyNumberFormat="1" applyFont="1" applyFill="1" applyBorder="1"/>
    <x:xf numFmtId="0" fontId="6" fillId="0" borderId="2" xfId="0" applyNumberFormat="1" applyFont="1" applyFill="1" applyBorder="1"/>
    <x:xf numFmtId="0" fontId="6" fillId="0" borderId="11" xfId="0" applyNumberFormat="1" applyFont="1" applyFill="1" applyBorder="1"/>
    <x:xf numFmtId="0" fontId="7" fillId="0" borderId="1" xfId="0" applyNumberFormat="1" applyFont="1" applyFill="1" applyBorder="1"/>
    <x:xf numFmtId="0" fontId="7" fillId="0" borderId="2" xfId="0" applyNumberFormat="1" applyFont="1" applyFill="1" applyBorder="1"/>
    <x:xf numFmtId="0" fontId="7" fillId="0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2" xfId="0" applyNumberFormat="1" applyFont="1" applyFill="1" applyBorder="1" applyAlignment="1">
      <x:alignment vertical="center"/>
    </x:xf>
    <x:xf numFmtId="0" fontId="6" fillId="5" borderId="13" xfId="0" applyNumberFormat="1" applyFont="1" applyFill="1" applyBorder="1"/>
    <x:xf numFmtId="0" fontId="6" fillId="5" borderId="13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horizontal="left"/>
    </x:xf>
    <x:xf numFmtId="0" fontId="8" fillId="6" borderId="0" xfId="0" applyNumberFormat="1" applyFont="1" applyFill="1" applyBorder="1" applyAlignment="1">
      <x:alignment horizontal="left" vertical="center"/>
    </x:xf>
    <x:xf numFmtId="0" fontId="8" fillId="7" borderId="0" xfId="0" applyNumberFormat="1" applyFont="1" applyFill="1" applyBorder="1" applyAlignment="1">
      <x:alignment horizontal="left" vertical="center"/>
    </x:xf>
    <x:xf numFmtId="0" fontId="8" fillId="7" xfId="0" applyNumberFormat="1" applyFont="1" applyFill="1" applyBorder="0" applyAlignment="1">
      <x:alignment horizontal="left" vertical="center"/>
    </x:xf>
    <x:xf numFmtId="0" fontId="8" fillId="7" borderId="14" xfId="0" applyNumberFormat="1" applyFont="1" applyFill="1" applyBorder="1" applyAlignment="1">
      <x:alignment horizontal="left" vertical="center"/>
    </x:xf>
    <x:xf numFmtId="0" fontId="8" fillId="8" xfId="0" applyNumberFormat="1" applyFont="1" applyFill="1" applyBorder="0" applyAlignment="1">
      <x:alignment horizontal="left" vertical="center"/>
    </x:xf>
    <x:xf numFmtId="0" fontId="8" fillId="8" borderId="14" xfId="0" applyNumberFormat="1" applyFont="1" applyFill="1" applyBorder="1" applyAlignment="1">
      <x:alignment horizontal="left" vertical="center"/>
    </x:xf>
    <x:xf numFmtId="0" fontId="9" fillId="8" xfId="0" applyNumberFormat="1" applyFont="1" applyFill="1" applyBorder="0" applyAlignment="1">
      <x:alignment horizontal="left" vertical="center"/>
    </x:xf>
    <x:xf numFmtId="0" fontId="9" fillId="8" borderId="14" xfId="0" applyNumberFormat="1" applyFont="1" applyFill="1" applyBorder="1" applyAlignment="1">
      <x:alignment horizontal="left" vertical="center"/>
    </x:xf>
    <x:xf numFmtId="0" fontId="9" fillId="8" xfId="0" applyNumberFormat="1" applyFont="1" applyFill="1" applyBorder="0" applyAlignment="1">
      <x:alignment horizontal="left" vertical="center" wrapText="1"/>
    </x:xf>
    <x:xf numFmtId="0" fontId="9" fillId="8" borderId="14" xfId="0" applyNumberFormat="1" applyFont="1" applyFill="1" applyBorder="1" applyAlignment="1">
      <x:alignment horizontal="left" vertical="center" wrapText="1"/>
    </x:xf>
    <x:xf numFmtId="0" fontId="9" fillId="8" xfId="0" applyNumberFormat="1" applyFont="1" applyFill="1" applyBorder="0" applyAlignment="1">
      <x:alignment horizontal="center" vertical="center" wrapText="1"/>
    </x:xf>
    <x:xf numFmtId="0" fontId="9" fillId="8" borderId="14" xfId="0" applyNumberFormat="1" applyFont="1" applyFill="1" applyBorder="1" applyAlignment="1">
      <x:alignment horizontal="center" vertical="center" wrapText="1"/>
    </x:xf>
    <x:xf numFmtId="0" fontId="8" fillId="9" borderId="0" xfId="0" applyNumberFormat="1" applyFont="1" applyFill="1" applyBorder="1" applyAlignment="1">
      <x:alignment horizontal="left" vertical="center"/>
    </x:xf>
    <x:xf numFmtId="0" fontId="10" fillId="9" borderId="0" xfId="0" applyNumberFormat="1" applyFont="1" applyFill="1" applyBorder="1" applyAlignment="1">
      <x:alignment horizontal="left" vertical="center"/>
    </x:xf>
    <x:xf numFmtId="0" fontId="10" fillId="9" xfId="0" applyNumberFormat="1" applyFont="1" applyFill="1" applyBorder="0" applyAlignment="1">
      <x:alignment horizontal="left" vertical="center"/>
    </x:xf>
    <x:xf numFmtId="0" fontId="10" fillId="9" borderId="15" xfId="0" applyNumberFormat="1" applyFont="1" applyFill="1" applyBorder="1" applyAlignment="1">
      <x:alignment horizontal="left" vertical="center"/>
    </x:xf>
    <x:xf numFmtId="0" fontId="11" fillId="7" borderId="0" xfId="0" applyNumberFormat="1" applyFont="1" applyFill="1" applyBorder="1" applyAlignment="1">
      <x:alignment horizontal="left" vertical="center"/>
    </x:xf>
    <x:xf numFmtId="0" fontId="8" fillId="9" xfId="0" applyNumberFormat="1" applyFont="1" applyFill="1" applyBorder="0" applyAlignment="1">
      <x:alignment horizontal="left" vertical="center"/>
    </x:xf>
    <x:xf numFmtId="0" fontId="8" fillId="9" borderId="14" xfId="0" applyNumberFormat="1" applyFont="1" applyFill="1" applyBorder="1" applyAlignment="1">
      <x:alignment horizontal="left" vertical="center"/>
    </x:xf>
    <x:xf numFmtId="0" fontId="10" fillId="9" borderId="14" xfId="0" applyNumberFormat="1" applyFont="1" applyFill="1" applyBorder="1" applyAlignment="1">
      <x:alignment horizontal="left" vertical="center"/>
    </x:xf>
    <x:xf numFmtId="0" fontId="10" fillId="9" borderId="16" xfId="0" applyNumberFormat="1" applyFont="1" applyFill="1" applyBorder="1" applyAlignment="1">
      <x:alignment horizontal="left" vertical="center"/>
    </x:xf>
    <x:xf numFmtId="0" fontId="10" fillId="9" borderId="17" xfId="0" applyNumberFormat="1" applyFont="1" applyFill="1" applyBorder="1" applyAlignment="1">
      <x:alignment horizontal="left" vertical="center"/>
    </x:xf>
    <x:xf numFmtId="0" fontId="10" fillId="9" borderId="18" xfId="0" applyNumberFormat="1" applyFont="1" applyFill="1" applyBorder="1" applyAlignment="1">
      <x:alignment horizontal="left" vertical="center"/>
    </x:xf>
    <x:xf numFmtId="0" fontId="10" fillId="9" borderId="19" xfId="0" applyNumberFormat="1" applyFont="1" applyFill="1" applyBorder="1" applyAlignment="1">
      <x:alignment horizontal="left" vertical="center"/>
    </x:xf>
    <x:xf numFmtId="0" fontId="10" fillId="9" borderId="16" xfId="0" applyNumberFormat="1" applyFont="1" applyFill="1" applyBorder="1" applyAlignment="1">
      <x:alignment horizontal="left" vertical="center" wrapText="1"/>
    </x:xf>
    <x:xf numFmtId="0" fontId="10" fillId="9" borderId="17" xfId="0" applyNumberFormat="1" applyFont="1" applyFill="1" applyBorder="1" applyAlignment="1">
      <x:alignment horizontal="left" vertical="center" wrapText="1"/>
    </x:xf>
    <x:xf numFmtId="0" fontId="10" fillId="9" borderId="18" xfId="0" applyNumberFormat="1" applyFont="1" applyFill="1" applyBorder="1" applyAlignment="1">
      <x:alignment horizontal="left" vertical="center" wrapText="1"/>
    </x:xf>
    <x:xf numFmtId="0" fontId="10" fillId="9" borderId="19" xfId="0" applyNumberFormat="1" applyFont="1" applyFill="1" applyBorder="1" applyAlignment="1">
      <x:alignment horizontal="left" vertical="center" wrapText="1"/>
    </x:xf>
    <x:xf numFmtId="0" fontId="10" fillId="9" borderId="16" xfId="0" applyNumberFormat="1" applyFont="1" applyFill="1" applyBorder="1" applyAlignment="1">
      <x:alignment horizontal="center" vertical="center" wrapText="1"/>
    </x:xf>
    <x:xf numFmtId="0" fontId="10" fillId="9" borderId="17" xfId="0" applyNumberFormat="1" applyFont="1" applyFill="1" applyBorder="1" applyAlignment="1">
      <x:alignment horizontal="center" vertical="center" wrapText="1"/>
    </x:xf>
    <x:xf numFmtId="0" fontId="10" fillId="9" borderId="18" xfId="0" applyNumberFormat="1" applyFont="1" applyFill="1" applyBorder="1" applyAlignment="1">
      <x:alignment horizontal="center" vertical="center" wrapText="1"/>
    </x:xf>
    <x:xf numFmtId="0" fontId="10" fillId="9" borderId="19" xfId="0" applyNumberFormat="1" applyFont="1" applyFill="1" applyBorder="1" applyAlignment="1">
      <x:alignment horizontal="center" vertical="center" wrapText="1"/>
    </x:xf>
    <x:xf numFmtId="0" fontId="8" fillId="10" xfId="0" applyNumberFormat="1" applyFont="1" applyFill="1" applyBorder="0" applyAlignment="1">
      <x:alignment horizontal="left" vertical="center"/>
    </x:xf>
    <x:xf numFmtId="0" fontId="8" fillId="10" borderId="14" xfId="0" applyNumberFormat="1" applyFont="1" applyFill="1" applyBorder="1" applyAlignment="1">
      <x:alignment horizontal="left" vertical="center"/>
    </x:xf>
    <x:xf numFmtId="0" fontId="10" fillId="10" xfId="0" applyNumberFormat="1" applyFont="1" applyFill="1" applyBorder="0" applyAlignment="1">
      <x:alignment horizontal="left" vertical="center"/>
    </x:xf>
    <x:xf numFmtId="0" fontId="10" fillId="10" borderId="14" xfId="0" applyNumberFormat="1" applyFont="1" applyFill="1" applyBorder="1" applyAlignment="1">
      <x:alignment horizontal="left" vertical="center"/>
    </x:xf>
    <x:xf numFmtId="0" fontId="10" fillId="10" borderId="16" xfId="0" applyNumberFormat="1" applyFont="1" applyFill="1" applyBorder="1" applyAlignment="1">
      <x:alignment horizontal="left" vertical="center"/>
    </x:xf>
    <x:xf numFmtId="0" fontId="10" fillId="10" borderId="17" xfId="0" applyNumberFormat="1" applyFont="1" applyFill="1" applyBorder="1" applyAlignment="1">
      <x:alignment horizontal="left" vertical="center"/>
    </x:xf>
    <x:xf numFmtId="0" fontId="10" fillId="10" borderId="18" xfId="0" applyNumberFormat="1" applyFont="1" applyFill="1" applyBorder="1" applyAlignment="1">
      <x:alignment horizontal="left" vertical="center"/>
    </x:xf>
    <x:xf numFmtId="0" fontId="10" fillId="10" borderId="19" xfId="0" applyNumberFormat="1" applyFont="1" applyFill="1" applyBorder="1" applyAlignment="1">
      <x:alignment horizontal="left" vertical="center"/>
    </x:xf>
    <x:xf numFmtId="0" fontId="10" fillId="10" borderId="16" xfId="0" applyNumberFormat="1" applyFont="1" applyFill="1" applyBorder="1" applyAlignment="1">
      <x:alignment horizontal="left" vertical="center" wrapText="1"/>
    </x:xf>
    <x:xf numFmtId="0" fontId="10" fillId="10" borderId="17" xfId="0" applyNumberFormat="1" applyFont="1" applyFill="1" applyBorder="1" applyAlignment="1">
      <x:alignment horizontal="left" vertical="center" wrapText="1"/>
    </x:xf>
    <x:xf numFmtId="0" fontId="10" fillId="10" borderId="18" xfId="0" applyNumberFormat="1" applyFont="1" applyFill="1" applyBorder="1" applyAlignment="1">
      <x:alignment horizontal="left" vertical="center" wrapText="1"/>
    </x:xf>
    <x:xf numFmtId="0" fontId="10" fillId="10" borderId="19" xfId="0" applyNumberFormat="1" applyFont="1" applyFill="1" applyBorder="1" applyAlignment="1">
      <x:alignment horizontal="left" vertical="center" wrapText="1"/>
    </x:xf>
    <x:xf numFmtId="0" fontId="10" fillId="10" borderId="16" xfId="0" applyNumberFormat="1" applyFont="1" applyFill="1" applyBorder="1" applyAlignment="1">
      <x:alignment horizontal="center" vertical="center" wrapText="1"/>
    </x:xf>
    <x:xf numFmtId="0" fontId="10" fillId="10" borderId="17" xfId="0" applyNumberFormat="1" applyFont="1" applyFill="1" applyBorder="1" applyAlignment="1">
      <x:alignment horizontal="center" vertical="center" wrapText="1"/>
    </x:xf>
    <x:xf numFmtId="0" fontId="10" fillId="10" borderId="18" xfId="0" applyNumberFormat="1" applyFont="1" applyFill="1" applyBorder="1" applyAlignment="1">
      <x:alignment horizontal="center" vertical="center" wrapText="1"/>
    </x:xf>
    <x:xf numFmtId="0" fontId="10" fillId="10" borderId="19" xfId="0" applyNumberFormat="1" applyFont="1" applyFill="1" applyBorder="1" applyAlignment="1">
      <x:alignment horizontal="center" vertical="center" wrapText="1"/>
    </x:xf>
    <x:xf numFmtId="0" fontId="8" fillId="11" xfId="0" applyNumberFormat="1" applyFont="1" applyFill="1" applyBorder="0" applyAlignment="1">
      <x:alignment horizontal="left" vertical="center"/>
    </x:xf>
    <x:xf numFmtId="0" fontId="8" fillId="11" borderId="14" xfId="0" applyNumberFormat="1" applyFont="1" applyFill="1" applyBorder="1" applyAlignment="1">
      <x:alignment horizontal="left" vertical="center"/>
    </x:xf>
    <x:xf numFmtId="0" fontId="12" fillId="11" xfId="0" applyNumberFormat="1" applyFont="1" applyFill="1" applyBorder="0" applyAlignment="1">
      <x:alignment horizontal="left" vertical="center"/>
    </x:xf>
    <x:xf numFmtId="0" fontId="12" fillId="11" borderId="14" xfId="0" applyNumberFormat="1" applyFont="1" applyFill="1" applyBorder="1" applyAlignment="1">
      <x:alignment horizontal="left" vertical="center"/>
    </x:xf>
    <x:xf numFmtId="0" fontId="12" fillId="11" borderId="16" xfId="0" applyNumberFormat="1" applyFont="1" applyFill="1" applyBorder="1" applyAlignment="1">
      <x:alignment horizontal="left" vertical="center"/>
    </x:xf>
    <x:xf numFmtId="0" fontId="12" fillId="11" borderId="17" xfId="0" applyNumberFormat="1" applyFont="1" applyFill="1" applyBorder="1" applyAlignment="1">
      <x:alignment horizontal="left" vertical="center"/>
    </x:xf>
    <x:xf numFmtId="0" fontId="12" fillId="11" borderId="20" xfId="0" applyNumberFormat="1" applyFont="1" applyFill="1" applyBorder="1" applyAlignment="1">
      <x:alignment horizontal="left" vertical="center"/>
    </x:xf>
    <x:xf numFmtId="0" fontId="12" fillId="11" borderId="21" xfId="0" applyNumberFormat="1" applyFont="1" applyFill="1" applyBorder="1" applyAlignment="1">
      <x:alignment horizontal="left" vertical="center"/>
    </x:xf>
    <x:xf numFmtId="0" fontId="12" fillId="11" borderId="18" xfId="0" applyNumberFormat="1" applyFont="1" applyFill="1" applyBorder="1" applyAlignment="1">
      <x:alignment horizontal="left" vertical="center"/>
    </x:xf>
    <x:xf numFmtId="0" fontId="12" fillId="11" borderId="19" xfId="0" applyNumberFormat="1" applyFont="1" applyFill="1" applyBorder="1" applyAlignment="1">
      <x:alignment horizontal="left" vertical="center"/>
    </x:xf>
    <x:xf numFmtId="0" fontId="12" fillId="11" borderId="16" xfId="0" applyNumberFormat="1" applyFont="1" applyFill="1" applyBorder="1" applyAlignment="1">
      <x:alignment horizontal="left" vertical="center" wrapText="1"/>
    </x:xf>
    <x:xf numFmtId="0" fontId="12" fillId="11" borderId="17" xfId="0" applyNumberFormat="1" applyFont="1" applyFill="1" applyBorder="1" applyAlignment="1">
      <x:alignment horizontal="left" vertical="center" wrapText="1"/>
    </x:xf>
    <x:xf numFmtId="0" fontId="12" fillId="11" borderId="20" xfId="0" applyNumberFormat="1" applyFont="1" applyFill="1" applyBorder="1" applyAlignment="1">
      <x:alignment horizontal="left" vertical="center" wrapText="1"/>
    </x:xf>
    <x:xf numFmtId="0" fontId="12" fillId="11" borderId="21" xfId="0" applyNumberFormat="1" applyFont="1" applyFill="1" applyBorder="1" applyAlignment="1">
      <x:alignment horizontal="left" vertical="center" wrapText="1"/>
    </x:xf>
    <x:xf numFmtId="0" fontId="12" fillId="11" borderId="18" xfId="0" applyNumberFormat="1" applyFont="1" applyFill="1" applyBorder="1" applyAlignment="1">
      <x:alignment horizontal="left" vertical="center" wrapText="1"/>
    </x:xf>
    <x:xf numFmtId="0" fontId="12" fillId="11" borderId="19" xfId="0" applyNumberFormat="1" applyFont="1" applyFill="1" applyBorder="1" applyAlignment="1">
      <x:alignment horizontal="left" vertical="center" wrapText="1"/>
    </x:xf>
    <x:xf numFmtId="0" fontId="12" fillId="11" borderId="16" xfId="0" applyNumberFormat="1" applyFont="1" applyFill="1" applyBorder="1" applyAlignment="1">
      <x:alignment horizontal="center" vertical="center" wrapText="1"/>
    </x:xf>
    <x:xf numFmtId="0" fontId="12" fillId="11" borderId="17" xfId="0" applyNumberFormat="1" applyFont="1" applyFill="1" applyBorder="1" applyAlignment="1">
      <x:alignment horizontal="center" vertical="center" wrapText="1"/>
    </x:xf>
    <x:xf numFmtId="0" fontId="12" fillId="11" borderId="20" xfId="0" applyNumberFormat="1" applyFont="1" applyFill="1" applyBorder="1" applyAlignment="1">
      <x:alignment horizontal="center" vertical="center" wrapText="1"/>
    </x:xf>
    <x:xf numFmtId="0" fontId="12" fillId="11" borderId="21" xfId="0" applyNumberFormat="1" applyFont="1" applyFill="1" applyBorder="1" applyAlignment="1">
      <x:alignment horizontal="center" vertical="center" wrapText="1"/>
    </x:xf>
    <x:xf numFmtId="0" fontId="12" fillId="11" borderId="18" xfId="0" applyNumberFormat="1" applyFont="1" applyFill="1" applyBorder="1" applyAlignment="1">
      <x:alignment horizontal="center" vertical="center" wrapText="1"/>
    </x:xf>
    <x:xf numFmtId="0" fontId="12" fillId="11" borderId="19" xfId="0" applyNumberFormat="1" applyFont="1" applyFill="1" applyBorder="1" applyAlignment="1">
      <x:alignment horizontal="center" vertical="center" wrapText="1"/>
    </x:xf>
    <x:xf numFmtId="0" fontId="8" fillId="12" xfId="0" applyNumberFormat="1" applyFont="1" applyFill="1" applyBorder="0" applyAlignment="1">
      <x:alignment horizontal="left" vertical="center"/>
    </x:xf>
    <x:xf numFmtId="0" fontId="8" fillId="12" borderId="14" xfId="0" applyNumberFormat="1" applyFont="1" applyFill="1" applyBorder="1" applyAlignment="1">
      <x:alignment horizontal="left" vertical="center"/>
    </x:xf>
    <x:xf numFmtId="0" fontId="13" fillId="12" xfId="0" applyNumberFormat="1" applyFont="1" applyFill="1" applyBorder="0" applyAlignment="1">
      <x:alignment horizontal="left" vertical="center"/>
    </x:xf>
    <x:xf numFmtId="0" fontId="13" fillId="12" borderId="14" xfId="0" applyNumberFormat="1" applyFont="1" applyFill="1" applyBorder="1" applyAlignment="1">
      <x:alignment horizontal="left" vertical="center"/>
    </x:xf>
    <x:xf numFmtId="0" fontId="13" fillId="12" borderId="16" xfId="0" applyNumberFormat="1" applyFont="1" applyFill="1" applyBorder="1" applyAlignment="1">
      <x:alignment horizontal="left" vertical="center"/>
    </x:xf>
    <x:xf numFmtId="0" fontId="13" fillId="12" borderId="17" xfId="0" applyNumberFormat="1" applyFont="1" applyFill="1" applyBorder="1" applyAlignment="1">
      <x:alignment horizontal="left" vertical="center"/>
    </x:xf>
    <x:xf numFmtId="0" fontId="13" fillId="12" borderId="20" xfId="0" applyNumberFormat="1" applyFont="1" applyFill="1" applyBorder="1" applyAlignment="1">
      <x:alignment horizontal="left" vertical="center"/>
    </x:xf>
    <x:xf numFmtId="0" fontId="13" fillId="12" borderId="21" xfId="0" applyNumberFormat="1" applyFont="1" applyFill="1" applyBorder="1" applyAlignment="1">
      <x:alignment horizontal="left" vertical="center"/>
    </x:xf>
    <x:xf numFmtId="0" fontId="13" fillId="12" borderId="18" xfId="0" applyNumberFormat="1" applyFont="1" applyFill="1" applyBorder="1" applyAlignment="1">
      <x:alignment horizontal="left" vertical="center"/>
    </x:xf>
    <x:xf numFmtId="0" fontId="13" fillId="12" borderId="19" xfId="0" applyNumberFormat="1" applyFont="1" applyFill="1" applyBorder="1" applyAlignment="1">
      <x:alignment horizontal="left" vertical="center"/>
    </x:xf>
    <x:xf numFmtId="0" fontId="13" fillId="12" borderId="16" xfId="0" applyNumberFormat="1" applyFont="1" applyFill="1" applyBorder="1" applyAlignment="1">
      <x:alignment horizontal="left" vertical="center" wrapText="1"/>
    </x:xf>
    <x:xf numFmtId="0" fontId="13" fillId="12" borderId="17" xfId="0" applyNumberFormat="1" applyFont="1" applyFill="1" applyBorder="1" applyAlignment="1">
      <x:alignment horizontal="left" vertical="center" wrapText="1"/>
    </x:xf>
    <x:xf numFmtId="0" fontId="13" fillId="12" borderId="20" xfId="0" applyNumberFormat="1" applyFont="1" applyFill="1" applyBorder="1" applyAlignment="1">
      <x:alignment horizontal="left" vertical="center" wrapText="1"/>
    </x:xf>
    <x:xf numFmtId="0" fontId="13" fillId="12" borderId="21" xfId="0" applyNumberFormat="1" applyFont="1" applyFill="1" applyBorder="1" applyAlignment="1">
      <x:alignment horizontal="left" vertical="center" wrapText="1"/>
    </x:xf>
    <x:xf numFmtId="0" fontId="13" fillId="12" borderId="18" xfId="0" applyNumberFormat="1" applyFont="1" applyFill="1" applyBorder="1" applyAlignment="1">
      <x:alignment horizontal="left" vertical="center" wrapText="1"/>
    </x:xf>
    <x:xf numFmtId="0" fontId="13" fillId="12" borderId="19" xfId="0" applyNumberFormat="1" applyFont="1" applyFill="1" applyBorder="1" applyAlignment="1">
      <x:alignment horizontal="left" vertical="center" wrapText="1"/>
    </x:xf>
    <x:xf numFmtId="0" fontId="13" fillId="12" borderId="16" xfId="0" applyNumberFormat="1" applyFont="1" applyFill="1" applyBorder="1" applyAlignment="1">
      <x:alignment horizontal="center" vertical="center" wrapText="1"/>
    </x:xf>
    <x:xf numFmtId="0" fontId="13" fillId="12" borderId="17" xfId="0" applyNumberFormat="1" applyFont="1" applyFill="1" applyBorder="1" applyAlignment="1">
      <x:alignment horizontal="center" vertical="center" wrapText="1"/>
    </x:xf>
    <x:xf numFmtId="0" fontId="13" fillId="12" borderId="20" xfId="0" applyNumberFormat="1" applyFont="1" applyFill="1" applyBorder="1" applyAlignment="1">
      <x:alignment horizontal="center" vertical="center" wrapText="1"/>
    </x:xf>
    <x:xf numFmtId="0" fontId="13" fillId="12" borderId="21" xfId="0" applyNumberFormat="1" applyFont="1" applyFill="1" applyBorder="1" applyAlignment="1">
      <x:alignment horizontal="center" vertical="center" wrapText="1"/>
    </x:xf>
    <x:xf numFmtId="0" fontId="13" fillId="12" borderId="18" xfId="0" applyNumberFormat="1" applyFont="1" applyFill="1" applyBorder="1" applyAlignment="1">
      <x:alignment horizontal="center" vertical="center" wrapText="1"/>
    </x:xf>
    <x:xf numFmtId="0" fontId="13" fillId="12" borderId="19" xfId="0" applyNumberFormat="1" applyFont="1" applyFill="1" applyBorder="1" applyAlignment="1">
      <x:alignment horizontal="center" vertical="center" wrapText="1"/>
    </x:xf>
    <x:xf numFmtId="0" fontId="10" fillId="10" borderId="20" xfId="0" applyNumberFormat="1" applyFont="1" applyFill="1" applyBorder="1" applyAlignment="1">
      <x:alignment horizontal="left" vertical="center"/>
    </x:xf>
    <x:xf numFmtId="0" fontId="10" fillId="10" borderId="21" xfId="0" applyNumberFormat="1" applyFont="1" applyFill="1" applyBorder="1" applyAlignment="1">
      <x:alignment horizontal="left" vertical="center"/>
    </x:xf>
    <x:xf numFmtId="0" fontId="10" fillId="10" borderId="20" xfId="0" applyNumberFormat="1" applyFont="1" applyFill="1" applyBorder="1" applyAlignment="1">
      <x:alignment horizontal="left" vertical="center" wrapText="1"/>
    </x:xf>
    <x:xf numFmtId="0" fontId="10" fillId="10" borderId="21" xfId="0" applyNumberFormat="1" applyFont="1" applyFill="1" applyBorder="1" applyAlignment="1">
      <x:alignment horizontal="left" vertical="center" wrapText="1"/>
    </x:xf>
    <x:xf numFmtId="0" fontId="10" fillId="10" borderId="20" xfId="0" applyNumberFormat="1" applyFont="1" applyFill="1" applyBorder="1" applyAlignment="1">
      <x:alignment horizontal="center" vertical="center" wrapText="1"/>
    </x:xf>
    <x:xf numFmtId="0" fontId="10" fillId="10" borderId="21" xfId="0" applyNumberFormat="1" applyFont="1" applyFill="1" applyBorder="1" applyAlignment="1">
      <x:alignment horizontal="center" vertical="center" wrapText="1"/>
    </x:xf>
    <x:xf numFmtId="0" fontId="11" fillId="7" xfId="0" applyNumberFormat="1" applyFont="1" applyFill="1" applyBorder="0" applyAlignment="1">
      <x:alignment horizontal="left" vertical="center"/>
    </x:xf>
    <x:xf numFmtId="0" fontId="11" fillId="7" borderId="14" xfId="0" applyNumberFormat="1" applyFont="1" applyFill="1" applyBorder="1" applyAlignment="1">
      <x:alignment horizontal="left" vertical="center"/>
    </x:xf>
    <x:xf numFmtId="0" fontId="11" fillId="7" borderId="22" xfId="0" applyNumberFormat="1" applyFont="1" applyFill="1" applyBorder="1" applyAlignment="1">
      <x:alignment horizontal="left" vertical="center"/>
    </x:xf>
    <x:xf numFmtId="0" fontId="11" fillId="7" borderId="23" xfId="0" applyNumberFormat="1" applyFont="1" applyFill="1" applyBorder="1" applyAlignment="1">
      <x:alignment horizontal="left" vertical="center"/>
    </x:xf>
    <x:xf numFmtId="0" fontId="11" fillId="7" borderId="24" xfId="0" applyNumberFormat="1" applyFont="1" applyFill="1" applyBorder="1" applyAlignment="1">
      <x:alignment horizontal="left" vertical="center"/>
    </x:xf>
    <x:xf numFmtId="0" fontId="11" fillId="7" borderId="25" xfId="0" applyNumberFormat="1" applyFont="1" applyFill="1" applyBorder="1" applyAlignment="1">
      <x:alignment horizontal="left" vertical="center"/>
    </x:xf>
    <x:xf numFmtId="0" fontId="11" fillId="7" borderId="26" xfId="0" applyNumberFormat="1" applyFont="1" applyFill="1" applyBorder="1" applyAlignment="1">
      <x:alignment horizontal="left" vertical="center"/>
    </x:xf>
    <x:xf numFmtId="0" fontId="11" fillId="7" borderId="22" xfId="0" applyNumberFormat="1" applyFont="1" applyFill="1" applyBorder="1" applyAlignment="1">
      <x:alignment horizontal="left" vertical="center" wrapText="1"/>
    </x:xf>
    <x:xf numFmtId="0" fontId="11" fillId="7" borderId="23" xfId="0" applyNumberFormat="1" applyFont="1" applyFill="1" applyBorder="1" applyAlignment="1">
      <x:alignment horizontal="left" vertical="center" wrapText="1"/>
    </x:xf>
    <x:xf numFmtId="0" fontId="11" fillId="7" borderId="24" xfId="0" applyNumberFormat="1" applyFont="1" applyFill="1" applyBorder="1" applyAlignment="1">
      <x:alignment horizontal="left" vertical="center" wrapText="1"/>
    </x:xf>
    <x:xf numFmtId="0" fontId="11" fillId="7" borderId="14" xfId="0" applyNumberFormat="1" applyFont="1" applyFill="1" applyBorder="1" applyAlignment="1">
      <x:alignment horizontal="left" vertical="center" wrapText="1"/>
    </x:xf>
    <x:xf numFmtId="0" fontId="11" fillId="7" borderId="25" xfId="0" applyNumberFormat="1" applyFont="1" applyFill="1" applyBorder="1" applyAlignment="1">
      <x:alignment horizontal="left" vertical="center" wrapText="1"/>
    </x:xf>
    <x:xf numFmtId="0" fontId="11" fillId="7" borderId="26" xfId="0" applyNumberFormat="1" applyFont="1" applyFill="1" applyBorder="1" applyAlignment="1">
      <x:alignment horizontal="left" vertical="center" wrapText="1"/>
    </x:xf>
    <x:xf numFmtId="0" fontId="11" fillId="7" borderId="22" xfId="0" applyNumberFormat="1" applyFont="1" applyFill="1" applyBorder="1" applyAlignment="1">
      <x:alignment horizontal="left" vertical="top" wrapText="1"/>
    </x:xf>
    <x:xf numFmtId="0" fontId="11" fillId="7" borderId="23" xfId="0" applyNumberFormat="1" applyFont="1" applyFill="1" applyBorder="1" applyAlignment="1">
      <x:alignment horizontal="left" vertical="top" wrapText="1"/>
    </x:xf>
    <x:xf numFmtId="0" fontId="11" fillId="7" borderId="24" xfId="0" applyNumberFormat="1" applyFont="1" applyFill="1" applyBorder="1" applyAlignment="1">
      <x:alignment horizontal="left" vertical="top" wrapText="1"/>
    </x:xf>
    <x:xf numFmtId="0" fontId="11" fillId="7" borderId="14" xfId="0" applyNumberFormat="1" applyFont="1" applyFill="1" applyBorder="1" applyAlignment="1">
      <x:alignment horizontal="left" vertical="top" wrapText="1"/>
    </x:xf>
    <x:xf numFmtId="0" fontId="11" fillId="7" borderId="25" xfId="0" applyNumberFormat="1" applyFont="1" applyFill="1" applyBorder="1" applyAlignment="1">
      <x:alignment horizontal="left" vertical="top" wrapText="1"/>
    </x:xf>
    <x:xf numFmtId="0" fontId="11" fillId="7" borderId="26" xfId="0" applyNumberFormat="1" applyFont="1" applyFill="1" applyBorder="1" applyAlignment="1">
      <x:alignment horizontal="left" vertical="top" wrapText="1"/>
    </x:xf>
    <x:xf numFmtId="0" fontId="8" fillId="7" borderId="22" xfId="0" applyNumberFormat="1" applyFont="1" applyFill="1" applyBorder="1" applyAlignment="1">
      <x:alignment horizontal="left" vertical="center"/>
    </x:xf>
    <x:xf numFmtId="0" fontId="8" fillId="7" borderId="27" xfId="0" applyNumberFormat="1" applyFont="1" applyFill="1" applyBorder="1" applyAlignment="1">
      <x:alignment horizontal="left" vertical="center"/>
    </x:xf>
    <x:xf numFmtId="0" fontId="8" fillId="7" borderId="23" xfId="0" applyNumberFormat="1" applyFont="1" applyFill="1" applyBorder="1" applyAlignment="1">
      <x:alignment horizontal="left" vertical="center"/>
    </x:xf>
    <x:xf numFmtId="0" fontId="8" fillId="7" borderId="24" xfId="0" applyNumberFormat="1" applyFont="1" applyFill="1" applyBorder="1" applyAlignment="1">
      <x:alignment horizontal="left" vertical="center"/>
    </x:xf>
    <x:xf numFmtId="0" fontId="8" fillId="7" borderId="25" xfId="0" applyNumberFormat="1" applyFont="1" applyFill="1" applyBorder="1" applyAlignment="1">
      <x:alignment horizontal="left" vertical="center"/>
    </x:xf>
    <x:xf numFmtId="0" fontId="8" fillId="7" borderId="28" xfId="0" applyNumberFormat="1" applyFont="1" applyFill="1" applyBorder="1" applyAlignment="1">
      <x:alignment horizontal="left" vertical="center"/>
    </x:xf>
    <x:xf numFmtId="0" fontId="8" fillId="7" borderId="26" xfId="0" applyNumberFormat="1" applyFont="1" applyFill="1" applyBorder="1" applyAlignment="1">
      <x:alignment horizontal="left" vertical="center"/>
    </x:xf>
    <x:xf numFmtId="0" fontId="8" fillId="9" borderId="22" xfId="0" applyNumberFormat="1" applyFont="1" applyFill="1" applyBorder="1" applyAlignment="1">
      <x:alignment horizontal="left" vertical="center"/>
    </x:xf>
    <x:xf numFmtId="0" fontId="8" fillId="9" borderId="27" xfId="0" applyNumberFormat="1" applyFont="1" applyFill="1" applyBorder="1" applyAlignment="1">
      <x:alignment horizontal="left" vertical="center"/>
    </x:xf>
    <x:xf numFmtId="0" fontId="8" fillId="9" borderId="23" xfId="0" applyNumberFormat="1" applyFont="1" applyFill="1" applyBorder="1" applyAlignment="1">
      <x:alignment horizontal="left" vertical="center"/>
    </x:xf>
    <x:xf numFmtId="0" fontId="8" fillId="9" borderId="24" xfId="0" applyNumberFormat="1" applyFont="1" applyFill="1" applyBorder="1" applyAlignment="1">
      <x:alignment horizontal="left" vertical="center"/>
    </x:xf>
    <x:xf numFmtId="0" fontId="10" fillId="9" borderId="22" xfId="0" applyNumberFormat="1" applyFont="1" applyFill="1" applyBorder="1" applyAlignment="1">
      <x:alignment horizontal="left" vertical="center"/>
    </x:xf>
    <x:xf numFmtId="0" fontId="10" fillId="9" borderId="27" xfId="0" applyNumberFormat="1" applyFont="1" applyFill="1" applyBorder="1" applyAlignment="1">
      <x:alignment horizontal="left" vertical="center"/>
    </x:xf>
    <x:xf numFmtId="0" fontId="10" fillId="9" borderId="23" xfId="0" applyNumberFormat="1" applyFont="1" applyFill="1" applyBorder="1" applyAlignment="1">
      <x:alignment horizontal="left" vertical="center"/>
    </x:xf>
    <x:xf numFmtId="0" fontId="10" fillId="9" borderId="24" xfId="0" applyNumberFormat="1" applyFont="1" applyFill="1" applyBorder="1" applyAlignment="1">
      <x:alignment horizontal="left" vertical="center"/>
    </x:xf>
    <x:xf numFmtId="0" fontId="10" fillId="9" borderId="29" xfId="0" applyNumberFormat="1" applyFont="1" applyFill="1" applyBorder="1" applyAlignment="1">
      <x:alignment horizontal="left" vertical="center"/>
    </x:xf>
    <x:xf numFmtId="0" fontId="10" fillId="9" borderId="30" xfId="0" applyNumberFormat="1" applyFont="1" applyFill="1" applyBorder="1" applyAlignment="1">
      <x:alignment horizontal="left" vertical="center"/>
    </x:xf>
    <x:xf numFmtId="0" fontId="10" fillId="9" borderId="31" xfId="0" applyNumberFormat="1" applyFont="1" applyFill="1" applyBorder="1" applyAlignment="1">
      <x:alignment horizontal="left" vertical="center"/>
    </x:xf>
    <x:xf numFmtId="0" fontId="10" fillId="9" borderId="22" xfId="0" applyNumberFormat="1" applyFont="1" applyFill="1" applyBorder="1" applyAlignment="1">
      <x:alignment horizontal="center" vertical="center"/>
    </x:xf>
    <x:xf numFmtId="0" fontId="10" fillId="9" borderId="27" xfId="0" applyNumberFormat="1" applyFont="1" applyFill="1" applyBorder="1" applyAlignment="1">
      <x:alignment horizontal="center" vertical="center"/>
    </x:xf>
    <x:xf numFmtId="0" fontId="10" fillId="9" borderId="23" xfId="0" applyNumberFormat="1" applyFont="1" applyFill="1" applyBorder="1" applyAlignment="1">
      <x:alignment horizontal="center" vertical="center"/>
    </x:xf>
    <x:xf numFmtId="0" fontId="10" fillId="9" borderId="29" xfId="0" applyNumberFormat="1" applyFont="1" applyFill="1" applyBorder="1" applyAlignment="1">
      <x:alignment horizontal="center" vertical="center"/>
    </x:xf>
    <x:xf numFmtId="0" fontId="10" fillId="9" borderId="30" xfId="0" applyNumberFormat="1" applyFont="1" applyFill="1" applyBorder="1" applyAlignment="1">
      <x:alignment horizontal="center" vertical="center"/>
    </x:xf>
    <x:xf numFmtId="0" fontId="10" fillId="9" borderId="31" xfId="0" applyNumberFormat="1" applyFont="1" applyFill="1" applyBorder="1" applyAlignment="1">
      <x:alignment horizontal="center" vertical="center"/>
    </x:xf>
    <x:xf numFmtId="0" fontId="14" fillId="7" borderId="24" xfId="0" applyNumberFormat="1" applyFont="1" applyFill="1" applyBorder="1" applyAlignment="1">
      <x:alignment horizontal="left" vertical="center"/>
    </x:xf>
    <x:xf numFmtId="0" fontId="14" fillId="7" xfId="0" applyNumberFormat="1" applyFont="1" applyFill="1" applyBorder="0" applyAlignment="1">
      <x:alignment horizontal="left" vertical="center"/>
    </x:xf>
    <x:xf numFmtId="0" fontId="14" fillId="7" borderId="14" xfId="0" applyNumberFormat="1" applyFont="1" applyFill="1" applyBorder="1" applyAlignment="1">
      <x:alignment horizontal="left" vertical="center"/>
    </x:xf>
    <x:xf numFmtId="0" fontId="14" fillId="7" borderId="25" xfId="0" applyNumberFormat="1" applyFont="1" applyFill="1" applyBorder="1" applyAlignment="1">
      <x:alignment horizontal="left" vertical="center"/>
    </x:xf>
    <x:xf numFmtId="0" fontId="14" fillId="7" borderId="28" xfId="0" applyNumberFormat="1" applyFont="1" applyFill="1" applyBorder="1" applyAlignment="1">
      <x:alignment horizontal="left" vertical="center"/>
    </x:xf>
    <x:xf numFmtId="0" fontId="14" fillId="7" borderId="26" xfId="0" applyNumberFormat="1" applyFont="1" applyFill="1" applyBorder="1" applyAlignment="1">
      <x:alignment horizontal="left" vertical="center"/>
    </x:xf>
    <x:xf numFmtId="200" fontId="14" fillId="7" borderId="24" xfId="0" applyNumberFormat="1" applyFont="1" applyFill="1" applyBorder="1" applyAlignment="1">
      <x:alignment horizontal="left" vertical="center"/>
    </x:xf>
    <x:xf numFmtId="200" fontId="14" fillId="7" xfId="0" applyNumberFormat="1" applyFont="1" applyFill="1" applyBorder="0" applyAlignment="1">
      <x:alignment horizontal="left" vertical="center"/>
    </x:xf>
    <x:xf numFmtId="200" fontId="14" fillId="7" borderId="14" xfId="0" applyNumberFormat="1" applyFont="1" applyFill="1" applyBorder="1" applyAlignment="1">
      <x:alignment horizontal="left" vertical="center"/>
    </x:xf>
    <x:xf numFmtId="200" fontId="14" fillId="7" borderId="25" xfId="0" applyNumberFormat="1" applyFont="1" applyFill="1" applyBorder="1" applyAlignment="1">
      <x:alignment horizontal="left" vertical="center"/>
    </x:xf>
    <x:xf numFmtId="200" fontId="14" fillId="7" borderId="28" xfId="0" applyNumberFormat="1" applyFont="1" applyFill="1" applyBorder="1" applyAlignment="1">
      <x:alignment horizontal="left" vertical="center"/>
    </x:xf>
    <x:xf numFmtId="200" fontId="14" fillId="7" borderId="26" xfId="0" applyNumberFormat="1" applyFont="1" applyFill="1" applyBorder="1" applyAlignment="1">
      <x:alignment horizontal="left" vertical="center"/>
    </x:xf>
    <x:xf numFmtId="200" fontId="14" fillId="7" borderId="24" xfId="0" applyNumberFormat="1" applyFont="1" applyFill="1" applyBorder="1" applyAlignment="1">
      <x:alignment horizontal="center" vertical="center"/>
    </x:xf>
    <x:xf numFmtId="200" fontId="14" fillId="7" xfId="0" applyNumberFormat="1" applyFont="1" applyFill="1" applyBorder="0" applyAlignment="1">
      <x:alignment horizontal="center" vertical="center"/>
    </x:xf>
    <x:xf numFmtId="200" fontId="14" fillId="7" borderId="14" xfId="0" applyNumberFormat="1" applyFont="1" applyFill="1" applyBorder="1" applyAlignment="1">
      <x:alignment horizontal="center" vertical="center"/>
    </x:xf>
    <x:xf numFmtId="200" fontId="14" fillId="7" borderId="25" xfId="0" applyNumberFormat="1" applyFont="1" applyFill="1" applyBorder="1" applyAlignment="1">
      <x:alignment horizontal="center" vertical="center"/>
    </x:xf>
    <x:xf numFmtId="200" fontId="14" fillId="7" borderId="28" xfId="0" applyNumberFormat="1" applyFont="1" applyFill="1" applyBorder="1" applyAlignment="1">
      <x:alignment horizontal="center" vertical="center"/>
    </x:xf>
    <x:xf numFmtId="200" fontId="14" fillId="7" borderId="26" xfId="0" applyNumberFormat="1" applyFont="1" applyFill="1" applyBorder="1" applyAlignment="1">
      <x:alignment horizontal="center" vertical="center"/>
    </x:xf>
    <x:xf numFmtId="201" fontId="14" fillId="7" borderId="24" xfId="0" applyNumberFormat="1" applyFont="1" applyFill="1" applyBorder="1" applyAlignment="1">
      <x:alignment horizontal="left" vertical="center"/>
    </x:xf>
    <x:xf numFmtId="201" fontId="14" fillId="7" xfId="0" applyNumberFormat="1" applyFont="1" applyFill="1" applyBorder="0" applyAlignment="1">
      <x:alignment horizontal="left" vertical="center"/>
    </x:xf>
    <x:xf numFmtId="201" fontId="14" fillId="7" borderId="14" xfId="0" applyNumberFormat="1" applyFont="1" applyFill="1" applyBorder="1" applyAlignment="1">
      <x:alignment horizontal="left" vertical="center"/>
    </x:xf>
    <x:xf numFmtId="201" fontId="14" fillId="7" borderId="25" xfId="0" applyNumberFormat="1" applyFont="1" applyFill="1" applyBorder="1" applyAlignment="1">
      <x:alignment horizontal="left" vertical="center"/>
    </x:xf>
    <x:xf numFmtId="201" fontId="14" fillId="7" borderId="28" xfId="0" applyNumberFormat="1" applyFont="1" applyFill="1" applyBorder="1" applyAlignment="1">
      <x:alignment horizontal="left" vertical="center"/>
    </x:xf>
    <x:xf numFmtId="201" fontId="14" fillId="7" borderId="26" xfId="0" applyNumberFormat="1" applyFont="1" applyFill="1" applyBorder="1" applyAlignment="1">
      <x:alignment horizontal="left" vertical="center"/>
    </x:xf>
    <x:xf numFmtId="201" fontId="14" fillId="7" borderId="24" xfId="0" applyNumberFormat="1" applyFont="1" applyFill="1" applyBorder="1" applyAlignment="1">
      <x:alignment horizontal="center" vertical="center"/>
    </x:xf>
    <x:xf numFmtId="201" fontId="14" fillId="7" xfId="0" applyNumberFormat="1" applyFont="1" applyFill="1" applyBorder="0" applyAlignment="1">
      <x:alignment horizontal="center" vertical="center"/>
    </x:xf>
    <x:xf numFmtId="201" fontId="14" fillId="7" borderId="14" xfId="0" applyNumberFormat="1" applyFont="1" applyFill="1" applyBorder="1" applyAlignment="1">
      <x:alignment horizontal="center" vertical="center"/>
    </x:xf>
    <x:xf numFmtId="201" fontId="14" fillId="7" borderId="25" xfId="0" applyNumberFormat="1" applyFont="1" applyFill="1" applyBorder="1" applyAlignment="1">
      <x:alignment horizontal="center" vertical="center"/>
    </x:xf>
    <x:xf numFmtId="201" fontId="14" fillId="7" borderId="28" xfId="0" applyNumberFormat="1" applyFont="1" applyFill="1" applyBorder="1" applyAlignment="1">
      <x:alignment horizontal="center" vertical="center"/>
    </x:xf>
    <x:xf numFmtId="201" fontId="14" fillId="7" borderId="26" xfId="0" applyNumberFormat="1" applyFont="1" applyFill="1" applyBorder="1" applyAlignment="1">
      <x:alignment horizontal="center" vertical="center"/>
    </x:xf>
    <x:xf numFmtId="202" fontId="14" fillId="7" borderId="24" xfId="0" applyNumberFormat="1" applyFont="1" applyFill="1" applyBorder="1" applyAlignment="1">
      <x:alignment horizontal="left" vertical="center"/>
    </x:xf>
    <x:xf numFmtId="202" fontId="14" fillId="7" borderId="14" xfId="0" applyNumberFormat="1" applyFont="1" applyFill="1" applyBorder="1" applyAlignment="1">
      <x:alignment horizontal="left" vertical="center"/>
    </x:xf>
    <x:xf numFmtId="202" fontId="14" fillId="7" borderId="25" xfId="0" applyNumberFormat="1" applyFont="1" applyFill="1" applyBorder="1" applyAlignment="1">
      <x:alignment horizontal="left" vertical="center"/>
    </x:xf>
    <x:xf numFmtId="202" fontId="14" fillId="7" borderId="26" xfId="0" applyNumberFormat="1" applyFont="1" applyFill="1" applyBorder="1" applyAlignment="1">
      <x:alignment horizontal="left" vertical="center"/>
    </x:xf>
    <x:xf numFmtId="202" fontId="14" fillId="7" borderId="24" xfId="0" applyNumberFormat="1" applyFont="1" applyFill="1" applyBorder="1" applyAlignment="1">
      <x:alignment horizontal="center" vertical="center"/>
    </x:xf>
    <x:xf numFmtId="202" fontId="14" fillId="7" borderId="14" xfId="0" applyNumberFormat="1" applyFont="1" applyFill="1" applyBorder="1" applyAlignment="1">
      <x:alignment horizontal="center" vertical="center"/>
    </x:xf>
    <x:xf numFmtId="202" fontId="14" fillId="7" borderId="25" xfId="0" applyNumberFormat="1" applyFont="1" applyFill="1" applyBorder="1" applyAlignment="1">
      <x:alignment horizontal="center" vertical="center"/>
    </x:xf>
    <x:xf numFmtId="202" fontId="14" fillId="7" borderId="26" xfId="0" applyNumberFormat="1" applyFont="1" applyFill="1" applyBorder="1" applyAlignment="1">
      <x:alignment horizontal="center" vertical="center"/>
    </x:xf>
    <x:xf numFmtId="204" fontId="14" fillId="7" borderId="24" xfId="0" applyNumberFormat="1" applyFont="1" applyFill="1" applyBorder="1" applyAlignment="1">
      <x:alignment horizontal="left" vertical="center"/>
    </x:xf>
    <x:xf numFmtId="204" fontId="14" fillId="7" xfId="0" applyNumberFormat="1" applyFont="1" applyFill="1" applyBorder="0" applyAlignment="1">
      <x:alignment horizontal="left" vertical="center"/>
    </x:xf>
    <x:xf numFmtId="204" fontId="14" fillId="7" borderId="14" xfId="0" applyNumberFormat="1" applyFont="1" applyFill="1" applyBorder="1" applyAlignment="1">
      <x:alignment horizontal="left" vertical="center"/>
    </x:xf>
    <x:xf numFmtId="204" fontId="14" fillId="7" borderId="25" xfId="0" applyNumberFormat="1" applyFont="1" applyFill="1" applyBorder="1" applyAlignment="1">
      <x:alignment horizontal="left" vertical="center"/>
    </x:xf>
    <x:xf numFmtId="204" fontId="14" fillId="7" borderId="28" xfId="0" applyNumberFormat="1" applyFont="1" applyFill="1" applyBorder="1" applyAlignment="1">
      <x:alignment horizontal="left" vertical="center"/>
    </x:xf>
    <x:xf numFmtId="204" fontId="14" fillId="7" borderId="26" xfId="0" applyNumberFormat="1" applyFont="1" applyFill="1" applyBorder="1" applyAlignment="1">
      <x:alignment horizontal="left" vertical="center"/>
    </x:xf>
    <x:xf numFmtId="204" fontId="14" fillId="7" borderId="24" xfId="0" applyNumberFormat="1" applyFont="1" applyFill="1" applyBorder="1" applyAlignment="1">
      <x:alignment horizontal="center" vertical="center"/>
    </x:xf>
    <x:xf numFmtId="204" fontId="14" fillId="7" xfId="0" applyNumberFormat="1" applyFont="1" applyFill="1" applyBorder="0" applyAlignment="1">
      <x:alignment horizontal="center" vertical="center"/>
    </x:xf>
    <x:xf numFmtId="204" fontId="14" fillId="7" borderId="14" xfId="0" applyNumberFormat="1" applyFont="1" applyFill="1" applyBorder="1" applyAlignment="1">
      <x:alignment horizontal="center" vertical="center"/>
    </x:xf>
    <x:xf numFmtId="204" fontId="14" fillId="7" borderId="25" xfId="0" applyNumberFormat="1" applyFont="1" applyFill="1" applyBorder="1" applyAlignment="1">
      <x:alignment horizontal="center" vertical="center"/>
    </x:xf>
    <x:xf numFmtId="204" fontId="14" fillId="7" borderId="28" xfId="0" applyNumberFormat="1" applyFont="1" applyFill="1" applyBorder="1" applyAlignment="1">
      <x:alignment horizontal="center" vertical="center"/>
    </x:xf>
    <x:xf numFmtId="204" fontId="14" fillId="7" borderId="26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left" vertical="center"/>
    </x:xf>
    <x:xf numFmtId="0" fontId="9" fillId="8" borderId="0" xfId="0" applyNumberFormat="1" applyFont="1" applyFill="1" applyBorder="1" applyAlignment="1">
      <x:alignment horizontal="left" vertical="center"/>
    </x:xf>
    <x:xf numFmtId="0" fontId="8" fillId="13" borderId="0" xfId="0" applyNumberFormat="1" applyFont="1" applyFill="1" applyBorder="1" applyAlignment="1">
      <x:alignment horizontal="left" vertical="center"/>
    </x:xf>
    <x:xf numFmtId="0" fontId="10" fillId="13" borderId="0" xfId="0" applyNumberFormat="1" applyFont="1" applyFill="1" applyBorder="1" applyAlignment="1">
      <x:alignment horizontal="left" vertical="center"/>
    </x:xf>
    <x:xf numFmtId="0" fontId="10" fillId="13" borderId="32" xfId="0" applyNumberFormat="1" applyFont="1" applyFill="1" applyBorder="1" applyAlignment="1">
      <x:alignment horizontal="left" vertical="center"/>
    </x:xf>
    <x:xf numFmtId="0" fontId="10" fillId="13" borderId="32" xfId="0" applyNumberFormat="1" applyFont="1" applyFill="1" applyBorder="1" applyAlignment="1">
      <x:alignment horizontal="center" vertical="center"/>
    </x:xf>
    <x:xf numFmtId="206" fontId="8" fillId="7" borderId="28" xfId="0" applyNumberFormat="1" applyFont="1" applyFill="1" applyBorder="1" applyAlignment="1">
      <x:alignment horizontal="left" vertical="center"/>
    </x:xf>
    <x:xf numFmtId="200" fontId="8" fillId="7" borderId="28" xfId="0" applyNumberFormat="1" applyFont="1" applyFill="1" applyBorder="1" applyAlignment="1">
      <x:alignment horizontal="left" vertical="center"/>
    </x:xf>
    <x:xf numFmtId="200" fontId="8" fillId="7" borderId="28" xfId="0" applyNumberFormat="1" applyFont="1" applyFill="1" applyBorder="1" applyAlignment="1">
      <x:alignment horizontal="right" vertical="center"/>
    </x:xf>
    <x:xf numFmtId="202" fontId="8" fillId="7" borderId="28" xfId="0" applyNumberFormat="1" applyFont="1" applyFill="1" applyBorder="1" applyAlignment="1">
      <x:alignment horizontal="left" vertical="center"/>
    </x:xf>
    <x:xf numFmtId="202" fontId="8" fillId="7" borderId="28" xfId="0" applyNumberFormat="1" applyFont="1" applyFill="1" applyBorder="1" applyAlignment="1">
      <x:alignment horizontal="right" vertical="center"/>
    </x:xf>
    <x:xf numFmtId="0" fontId="8" fillId="10" borderId="0" xfId="0" applyNumberFormat="1" applyFont="1" applyFill="1" applyBorder="1" applyAlignment="1">
      <x:alignment horizontal="left" vertical="center"/>
    </x:xf>
    <x:xf numFmtId="0" fontId="8" fillId="10" borderId="28" xfId="0" applyNumberFormat="1" applyFont="1" applyFill="1" applyBorder="1" applyAlignment="1">
      <x:alignment horizontal="left" vertical="center"/>
    </x:xf>
    <x:xf numFmtId="206" fontId="8" fillId="10" borderId="28" xfId="0" applyNumberFormat="1" applyFont="1" applyFill="1" applyBorder="1" applyAlignment="1">
      <x:alignment horizontal="left" vertical="center"/>
    </x:xf>
    <x:xf numFmtId="200" fontId="8" fillId="10" borderId="28" xfId="0" applyNumberFormat="1" applyFont="1" applyFill="1" applyBorder="1" applyAlignment="1">
      <x:alignment horizontal="left" vertical="center"/>
    </x:xf>
    <x:xf numFmtId="200" fontId="8" fillId="10" borderId="28" xfId="0" applyNumberFormat="1" applyFont="1" applyFill="1" applyBorder="1" applyAlignment="1">
      <x:alignment horizontal="right" vertical="center"/>
    </x:xf>
    <x:xf numFmtId="202" fontId="8" fillId="10" borderId="28" xfId="0" applyNumberFormat="1" applyFont="1" applyFill="1" applyBorder="1" applyAlignment="1">
      <x:alignment horizontal="left" vertical="center"/>
    </x:xf>
    <x:xf numFmtId="202" fontId="8" fillId="10" borderId="28" xfId="0" applyNumberFormat="1" applyFont="1" applyFill="1" applyBorder="1" applyAlignment="1">
      <x:alignment horizontal="right" vertical="center"/>
    </x:xf>
    <x:xf numFmtId="0" fontId="15" fillId="2" borderId="1" xfId="0" applyNumberFormat="1" applyFont="1" applyFill="1" applyBorder="1" applyAlignment="1">
      <x:alignment vertical="center" wrapText="1"/>
    </x:xf>
    <x:xf numFmtId="0" fontId="8" fillId="0" borderId="2" xfId="0" applyNumberFormat="1" applyFont="1" applyFill="1" applyBorder="1"/>
    <x:xf numFmtId="200" fontId="8" fillId="0" borderId="2" xfId="0" applyNumberFormat="1" applyFont="1" applyFill="1" applyBorder="1"/>
    <x:xf numFmtId="201" fontId="8" fillId="0" borderId="2" xfId="0" applyNumberFormat="1" applyFont="1" applyFill="1" applyBorder="1"/>
    <x:xf numFmtId="202" fontId="8" fillId="0" borderId="2" xfId="0" applyNumberFormat="1" applyFont="1" applyFill="1" applyBorder="1"/>
    <x:xf numFmtId="203" fontId="8" fillId="0" borderId="2" xfId="0" applyNumberFormat="1" applyFont="1" applyFill="1" applyBorder="1"/>
    <x:xf numFmtId="0" fontId="8" fillId="0" borderId="2" xfId="0" applyNumberFormat="1" applyFont="1" applyFill="1" applyBorder="1" applyAlignment="1">
      <x:alignment vertical="center"/>
    </x:xf>
    <x:xf numFmtId="200" fontId="8" fillId="0" borderId="2" xfId="0" applyNumberFormat="1" applyFont="1" applyFill="1" applyBorder="1" applyAlignment="1">
      <x:alignment vertical="center"/>
    </x:xf>
    <x:xf numFmtId="201" fontId="8" fillId="0" borderId="2" xfId="0" applyNumberFormat="1" applyFont="1" applyFill="1" applyBorder="1" applyAlignment="1">
      <x:alignment vertical="center"/>
    </x:xf>
    <x:xf numFmtId="202" fontId="8" fillId="0" borderId="2" xfId="0" applyNumberFormat="1" applyFont="1" applyFill="1" applyBorder="1" applyAlignment="1">
      <x:alignment vertical="center"/>
    </x:xf>
    <x:xf numFmtId="203" fontId="8" fillId="0" borderId="2" xfId="0" applyNumberFormat="1" applyFont="1" applyFill="1" applyBorder="1" applyAlignment="1">
      <x:alignment vertical="center"/>
    </x:xf>
    <x:xf numFmtId="0" fontId="15" fillId="2" borderId="26" xfId="0" applyNumberFormat="1" applyFont="1" applyFill="1" applyBorder="1" applyAlignment="1">
      <x:alignment vertical="center" wrapText="1"/>
    </x:xf>
    <x:xf numFmtId="0" fontId="15" fillId="2" borderId="33" xfId="0" applyNumberFormat="1" applyFont="1" applyFill="1" applyBorder="1" applyAlignment="1">
      <x:alignment vertical="center" wrapText="1"/>
    </x:xf>
    <x:xf numFmtId="0" fontId="15" fillId="2" borderId="25" xfId="0" applyNumberFormat="1" applyFont="1" applyFill="1" applyBorder="1" applyAlignment="1">
      <x:alignment vertical="center" wrapText="1"/>
    </x:xf>
    <x:xf numFmtId="0" fontId="8" fillId="0" borderId="34" xfId="0" applyNumberFormat="1" applyFont="1" applyFill="1" applyBorder="1" applyAlignment="1">
      <x:alignment vertical="center"/>
    </x:xf>
    <x:xf numFmtId="200" fontId="8" fillId="0" borderId="35" xfId="0" applyNumberFormat="1" applyFont="1" applyFill="1" applyBorder="1" applyAlignment="1">
      <x:alignment vertical="center"/>
    </x:xf>
    <x:xf numFmtId="201" fontId="8" fillId="0" borderId="35" xfId="0" applyNumberFormat="1" applyFont="1" applyFill="1" applyBorder="1" applyAlignment="1">
      <x:alignment vertical="center"/>
    </x:xf>
    <x:xf numFmtId="202" fontId="8" fillId="0" borderId="35" xfId="0" applyNumberFormat="1" applyFont="1" applyFill="1" applyBorder="1" applyAlignment="1">
      <x:alignment vertical="center"/>
    </x:xf>
    <x:xf numFmtId="203" fontId="8" fillId="0" borderId="35" xfId="0" applyNumberFormat="1" applyFont="1" applyFill="1" applyBorder="1" applyAlignment="1">
      <x:alignment vertical="center"/>
    </x:xf>
    <x:xf numFmtId="203" fontId="8" fillId="0" borderId="36" xfId="0" applyNumberFormat="1" applyFont="1" applyFill="1" applyBorder="1" applyAlignment="1">
      <x:alignment vertical="center"/>
    </x:xf>
    <x:xf numFmtId="0" fontId="15" fillId="8" borderId="26" xfId="0" applyNumberFormat="1" applyFont="1" applyFill="1" applyBorder="1" applyAlignment="1">
      <x:alignment vertical="center" wrapText="1"/>
    </x:xf>
    <x:xf numFmtId="0" fontId="15" fillId="8" borderId="33" xfId="0" applyNumberFormat="1" applyFont="1" applyFill="1" applyBorder="1" applyAlignment="1">
      <x:alignment vertical="center" wrapText="1"/>
    </x:xf>
    <x:xf numFmtId="0" fontId="15" fillId="8" borderId="25" xfId="0" applyNumberFormat="1" applyFont="1" applyFill="1" applyBorder="1" applyAlignment="1">
      <x:alignment vertical="center" wrapText="1"/>
    </x:xf>
    <x:xf numFmtId="0" fontId="9" fillId="8" borderId="26" xfId="0" applyNumberFormat="1" applyFont="1" applyFill="1" applyBorder="1" applyAlignment="1">
      <x:alignment vertical="center" wrapText="1"/>
    </x:xf>
    <x:xf numFmtId="0" fontId="9" fillId="8" borderId="33" xfId="0" applyNumberFormat="1" applyFont="1" applyFill="1" applyBorder="1" applyAlignment="1">
      <x:alignment vertical="center" wrapText="1"/>
    </x:xf>
    <x:xf numFmtId="0" fontId="9" fillId="8" borderId="25" xfId="0" applyNumberFormat="1" applyFont="1" applyFill="1" applyBorder="1" applyAlignment="1">
      <x:alignment vertical="center" wrapText="1"/>
    </x:xf>
    <x:xf numFmtId="0" fontId="9" fillId="8" borderId="32" xfId="0" applyNumberFormat="1" applyFont="1" applyFill="1" applyBorder="1" applyAlignment="1">
      <x:alignment vertical="center" wrapText="1"/>
    </x:xf>
    <x:xf numFmtId="0" fontId="8" fillId="10" borderId="34" xfId="0" applyNumberFormat="1" applyFont="1" applyFill="1" applyBorder="1" applyAlignment="1">
      <x:alignment vertical="center"/>
    </x:xf>
    <x:xf numFmtId="200" fontId="8" fillId="10" borderId="35" xfId="0" applyNumberFormat="1" applyFont="1" applyFill="1" applyBorder="1" applyAlignment="1">
      <x:alignment vertical="center"/>
    </x:xf>
    <x:xf numFmtId="201" fontId="8" fillId="10" borderId="35" xfId="0" applyNumberFormat="1" applyFont="1" applyFill="1" applyBorder="1" applyAlignment="1">
      <x:alignment vertical="center"/>
    </x:xf>
    <x:xf numFmtId="202" fontId="8" fillId="10" borderId="35" xfId="0" applyNumberFormat="1" applyFont="1" applyFill="1" applyBorder="1" applyAlignment="1">
      <x:alignment vertical="center"/>
    </x:xf>
    <x:xf numFmtId="203" fontId="8" fillId="10" borderId="35" xfId="0" applyNumberFormat="1" applyFont="1" applyFill="1" applyBorder="1" applyAlignment="1">
      <x:alignment vertical="center"/>
    </x:xf>
    <x:xf numFmtId="203" fontId="8" fillId="10" borderId="36" xfId="0" applyNumberFormat="1" applyFont="1" applyFill="1" applyBorder="1" applyAlignment="1">
      <x:alignment vertical="center"/>
    </x:xf>
    <x:xf numFmtId="204" fontId="8" fillId="0" borderId="2" xfId="0" applyNumberFormat="1" applyFont="1" applyFill="1" applyBorder="1"/>
    <x:xf numFmtId="204" fontId="8" fillId="0" borderId="2" xfId="0" applyNumberFormat="1" applyFont="1" applyFill="1" applyBorder="1" applyAlignment="1">
      <x:alignment vertical="center"/>
    </x:xf>
    <x:xf numFmtId="204" fontId="8" fillId="0" borderId="36" xfId="0" applyNumberFormat="1" applyFont="1" applyFill="1" applyBorder="1" applyAlignment="1">
      <x:alignment vertical="center"/>
    </x:xf>
    <x:xf numFmtId="204" fontId="8" fillId="10" borderId="36" xfId="0" applyNumberFormat="1" applyFont="1" applyFill="1" applyBorder="1" applyAlignment="1">
      <x:alignment vertical="center"/>
    </x:xf>
    <x:xf numFmtId="202" fontId="8" fillId="0" borderId="36" xfId="0" applyNumberFormat="1" applyFont="1" applyFill="1" applyBorder="1" applyAlignment="1">
      <x:alignment vertical="center"/>
    </x:xf>
    <x:xf numFmtId="202" fontId="8" fillId="10" borderId="36" xfId="0" applyNumberFormat="1" applyFont="1" applyFill="1" applyBorder="1" applyAlignment="1">
      <x:alignment vertical="center"/>
    </x:xf>
    <x:xf numFmtId="0" fontId="8" fillId="0" borderId="35" xfId="0" applyNumberFormat="1" applyFont="1" applyFill="1" applyBorder="1" applyAlignment="1">
      <x:alignment vertical="center"/>
    </x:xf>
    <x:xf numFmtId="0" fontId="8" fillId="10" borderId="35" xfId="0" applyNumberFormat="1" applyFont="1" applyFill="1" applyBorder="1" applyAlignment="1">
      <x:alignment vertical="center"/>
    </x:xf>
    <x:xf numFmtId="205" fontId="8" fillId="0" borderId="2" xfId="0" applyNumberFormat="1" applyFont="1" applyFill="1" applyBorder="1"/>
    <x:xf numFmtId="205" fontId="8" fillId="0" borderId="2" xfId="0" applyNumberFormat="1" applyFont="1" applyFill="1" applyBorder="1" applyAlignment="1">
      <x:alignment vertical="center"/>
    </x:xf>
    <x:xf numFmtId="205" fontId="8" fillId="0" borderId="35" xfId="0" applyNumberFormat="1" applyFont="1" applyFill="1" applyBorder="1" applyAlignment="1">
      <x:alignment vertical="center"/>
    </x:xf>
    <x:xf numFmtId="0" fontId="8" fillId="0" borderId="36" xfId="0" applyNumberFormat="1" applyFont="1" applyFill="1" applyBorder="1" applyAlignment="1">
      <x:alignment vertical="center"/>
    </x:xf>
    <x:xf numFmtId="205" fontId="8" fillId="10" borderId="35" xfId="0" applyNumberFormat="1" applyFont="1" applyFill="1" applyBorder="1" applyAlignment="1">
      <x:alignment vertical="center"/>
    </x:xf>
    <x:xf numFmtId="0" fontId="8" fillId="10" borderId="36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2" fillId="7" borderId="3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11" xfId="0" applyNumberFormat="1" applyFont="1" applyFill="1" applyBorder="1" applyAlignment="1">
      <x:alignment vertical="top" wrapText="1"/>
    </x:xf>
    <x:xf numFmtId="0" fontId="16" fillId="7" borderId="0" xfId="0" applyNumberFormat="1" applyFont="1" applyFill="1" applyBorder="1" applyAlignment="1">
      <x:alignment vertical="center"/>
    </x:xf>
    <x:xf numFmtId="0" fontId="16" fillId="7" borderId="3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vertical="top" wrapText="1"/>
    </x:xf>
    <x:xf numFmtId="0" fontId="8" fillId="7" borderId="2" xfId="0" applyNumberFormat="1" applyFont="1" applyFill="1" applyBorder="1" applyAlignment="1">
      <x:alignment vertical="top" wrapText="1"/>
    </x:xf>
    <x:xf numFmtId="0" fontId="8" fillId="7" borderId="11" xfId="0" applyNumberFormat="1" applyFont="1" applyFill="1" applyBorder="1" applyAlignment="1">
      <x:alignment vertical="top" wrapText="1"/>
    </x:xf>
    <x:xf numFmtId="0" fontId="16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5" xfId="0" applyNumberFormat="1" applyFont="1" applyFill="1" applyBorder="1" applyAlignment="1">
      <x:alignment vertical="center"/>
    </x:xf>
    <x:xf numFmtId="0" fontId="11" fillId="7" borderId="0" xfId="0" applyNumberFormat="1" applyFont="1" applyFill="1" applyBorder="1" applyAlignment="1">
      <x:alignment vertical="center"/>
    </x:xf>
    <x:xf numFmtId="0" fontId="15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wrapText="1"/>
    </x:xf>
    <x:xf numFmtId="0" fontId="10" fillId="10" borderId="28" xfId="0" applyNumberFormat="1" applyFont="1" applyFill="1" applyBorder="1" applyAlignment="1">
      <x:alignment wrapText="1"/>
    </x:xf>
    <x:xf numFmtId="0" fontId="10" fillId="10" borderId="28" xfId="0" applyNumberFormat="1" applyFont="1" applyFill="1" applyBorder="1" applyAlignment="1">
      <x:alignment vertical="center" wrapText="1"/>
    </x:xf>
    <x:xf numFmtId="0" fontId="8" fillId="7" borderId="28" xfId="0" applyNumberFormat="1" applyFont="1" applyFill="1" applyBorder="1" applyAlignment="1">
      <x:alignment vertical="top" wrapText="1"/>
    </x:xf>
    <x:xf numFmtId="0" fontId="8" fillId="7" borderId="28" xfId="0" applyNumberFormat="1" applyFont="1" applyFill="1" applyBorder="1" applyAlignment="1">
      <x:alignment vertical="center" wrapText="1"/>
    </x:xf>
    <x:xf numFmtId="0" fontId="8" fillId="7" borderId="37" xfId="0" applyNumberFormat="1" applyFont="1" applyFill="1" applyBorder="1" applyAlignment="1">
      <x:alignment vertical="top" wrapText="1"/>
    </x:xf>
    <x:xf numFmtId="0" fontId="8" fillId="7" borderId="37" xfId="0" applyNumberFormat="1" applyFont="1" applyFill="1" applyBorder="1" applyAlignment="1">
      <x:alignment vertical="center" wrapText="1"/>
    </x:xf>
    <x:xf numFmtId="0" fontId="8" fillId="10" borderId="36" xfId="0" applyNumberFormat="1" applyFont="1" applyFill="1" applyBorder="1" applyAlignment="1">
      <x:alignment vertical="center" wrapText="1"/>
    </x:xf>
    <x:xf numFmtId="0" fontId="8" fillId="0" borderId="3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C98216"/>
      </x:font>
      <x:fill>
        <x:patternFill patternType="solid">
          <x:bgColor rgb="FFFFF1D6"/>
        </x:patternFill>
      </x:fill>
    </x:dxf>
    <x:dxf>
      <x:font>
        <x:b/>
        <x:color rgb="FF245F46"/>
      </x:font>
      <x:fill>
        <x:patternFill patternType="solid">
          <x:bgColor rgb="FFCDEC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5db2c4d1e64774" /><Relationship Type="http://schemas.openxmlformats.org/officeDocument/2006/relationships/theme" Target="/xl/theme/theme1.xml" Id="Rdb12e9fb91cf4a85" /><Relationship Type="http://schemas.openxmlformats.org/officeDocument/2006/relationships/sharedStrings" Target="/xl/sharedStrings.xml" Id="R984a555afd57490c" /><Relationship Type="http://schemas.openxmlformats.org/officeDocument/2006/relationships/worksheet" Target="/xl/worksheets/sheet1.xml" Id="R9627802fb7df4379" /><Relationship Type="http://schemas.openxmlformats.org/officeDocument/2006/relationships/worksheet" Target="/xl/worksheets/sheet2.xml" Id="Rb181689411e6450c" /><Relationship Type="http://schemas.openxmlformats.org/officeDocument/2006/relationships/worksheet" Target="/xl/worksheets/sheet3.xml" Id="R09fa48a745b54209" /><Relationship Type="http://schemas.openxmlformats.org/officeDocument/2006/relationships/worksheet" Target="/xl/worksheets/sheet4.xml" Id="R159b250c1d5b49d4" /><Relationship Type="http://schemas.openxmlformats.org/officeDocument/2006/relationships/worksheet" Target="/xl/worksheets/sheet5.xml" Id="Rdd23237bb48a4890" /><Relationship Type="http://schemas.openxmlformats.org/officeDocument/2006/relationships/worksheet" Target="/xl/worksheets/sheet6.xml" Id="R1d343c37928e42ef" /><Relationship Type="http://schemas.openxmlformats.org/officeDocument/2006/relationships/worksheet" Target="/xl/worksheets/sheet7.xml" Id="Rff6677393add4d1d" /><Relationship Type="http://schemas.openxmlformats.org/officeDocument/2006/relationships/worksheet" Target="/xl/worksheets/sheet8.xml" Id="R72c55397a5e74b38" /><Relationship Type="http://schemas.microsoft.com/office/2017/10/relationships/person" Target="/xl/persons/person.xml" Id="Rc4cc9c6bf77a442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3ffb835582e4b62" /><Relationship Type="http://schemas.openxmlformats.org/officeDocument/2006/relationships/chart" Target="/xl/drawings/charts/chart2.xml" Id="R538108a393a34bf1" /><Relationship Type="http://schemas.openxmlformats.org/officeDocument/2006/relationships/chart" Target="/xl/drawings/charts/chart3.xml" Id="R1b9aa91d00bb48f5" /><Relationship Type="http://schemas.openxmlformats.org/officeDocument/2006/relationships/chart" Target="/xl/drawings/charts/chart4.xml" Id="R299549c98f1f49c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Monthly retail revenue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</c:v>
          </c:tx>
          <c:spPr>
            <a:solidFill xmlns:a="http://schemas.openxmlformats.org/drawingml/2006/main">
              <a:srgbClr val="65B88A"/>
            </a:solidFill>
          </c:spPr>
          <c:marker>
            <c:symbol val="none"/>
          </c:marker>
          <c:cat>
            <c:strRef>
              <c:f>'Monthly'!$A$2:$A$16</c:f>
              <c:strCache>
                <c:ptCount val="0"/>
              </c:strCache>
            </c:strRef>
          </c:cat>
          <c:val>
            <c:numRef>
              <c:f>'Monthly'!$B$2:$B$16</c:f>
              <c:numCache>
                <c:formatCode>€#,##0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Gross margin by month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Margin</c:v>
          </c:tx>
          <c:spPr>
            <a:solidFill xmlns:a="http://schemas.openxmlformats.org/drawingml/2006/main">
              <a:srgbClr val="2F7D5A"/>
            </a:solidFill>
          </c:spPr>
          <c:marker>
            <c:symbol val="none"/>
          </c:marker>
          <c:cat>
            <c:strRef>
              <c:f>'Monthly'!$A$2:$A$16</c:f>
              <c:strCache>
                <c:ptCount val="0"/>
              </c:strCache>
            </c:strRef>
          </c:cat>
          <c:val>
            <c:numRef>
              <c:f>'Monthly'!$D$2:$D$16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Top categories by revenue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Revenue</c:v>
          </c:tx>
          <c:spPr>
            <a:solidFill xmlns:a="http://schemas.openxmlformats.org/drawingml/2006/main">
              <a:srgbClr val="9BD7B8"/>
            </a:solidFill>
          </c:spPr>
          <c:cat>
            <c:strRef>
              <c:f>'Categories'!$A$2:$A$9</c:f>
              <c:strCache>
                <c:ptCount val="0"/>
              </c:strCache>
            </c:strRef>
          </c:cat>
          <c:val>
            <c:numRef>
              <c:f>'Categories'!$B$2:$B$9</c:f>
              <c:numCache>
                <c:formatCode>€#,##0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Revenue by store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Revenue</c:v>
          </c:tx>
          <c:spPr>
            <a:solidFill xmlns:a="http://schemas.openxmlformats.org/drawingml/2006/main">
              <a:srgbClr val="65B88A"/>
            </a:solidFill>
          </c:spPr>
          <c:cat>
            <c:strRef>
              <c:f>'Stores'!$A$2:$A$4</c:f>
              <c:strCache>
                <c:ptCount val="0"/>
              </c:strCache>
            </c:strRef>
          </c:cat>
          <c:val>
            <c:numRef>
              <c:f>'Stores'!$B$2:$B$4</c:f>
              <c:numCache>
                <c:formatCode>€#,##0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</xdr:col>
      <xdr:colOff>0</xdr:colOff>
      <xdr:row>8</xdr:row>
      <xdr:rowOff>0</xdr:rowOff>
    </xdr:from>
    <xdr:to>
      <xdr:col>10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ffb835582e4b62"/>
        </a:graphicData>
      </a:graphic>
    </xdr:graphicFrame>
    <xdr:clientData/>
  </xdr:twoCellAnchor>
  <xdr:twoCellAnchor>
    <xdr:from>
      <xdr:col>10</xdr:col>
      <xdr:colOff>0</xdr:colOff>
      <xdr:row>8</xdr:row>
      <xdr:rowOff>0</xdr:rowOff>
    </xdr:from>
    <xdr:to>
      <xdr:col>16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8108a393a34bf1"/>
        </a:graphicData>
      </a:graphic>
    </xdr:graphicFrame>
    <xdr:clientData/>
  </xdr:twoCellAnchor>
  <xdr:twoCellAnchor>
    <xdr:from>
      <xdr:col>2</xdr:col>
      <xdr:colOff>0</xdr:colOff>
      <xdr:row>21</xdr:row>
      <xdr:rowOff>0</xdr:rowOff>
    </xdr:from>
    <xdr:to>
      <xdr:col>10</xdr:col>
      <xdr:colOff>0</xdr:colOff>
      <xdr:row>34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9aa91d00bb48f5"/>
        </a:graphicData>
      </a:graphic>
    </xdr:graphicFrame>
    <xdr:clientData/>
  </xdr:twoCellAnchor>
  <xdr:twoCellAnchor>
    <xdr:from>
      <xdr:col>10</xdr:col>
      <xdr:colOff>0</xdr:colOff>
      <xdr:row>21</xdr:row>
      <xdr:rowOff>0</xdr:rowOff>
    </xdr:from>
    <xdr:to>
      <xdr:col>16</xdr:col>
      <xdr:colOff>0</xdr:colOff>
      <xdr:row>34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9549c98f1f49c9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Danila Olhovikov" id="{623622D5-207D-484D-BCE7-387A01BD2D99}"/>
</xltc:personList>
</file>

<file path=xl/tables/table1.xml><?xml version="1.0" encoding="utf-8"?>
<x:table xmlns:x="http://schemas.openxmlformats.org/spreadsheetml/2006/main" id="1" name="MonthlySalesTable" displayName="MonthlySalesTable" ref="A1:H16" headerRowCount="1" totalsRowCount="0" totalsRowShown="0">
  <x:tableColumns count="8">
    <x:tableColumn id="1" name="Month"/>
    <x:tableColumn id="2" name="Retail Revenue"/>
    <x:tableColumn id="3" name="Retail Profit"/>
    <x:tableColumn id="4" name="Margin"/>
    <x:tableColumn id="5" name="Transactions"/>
    <x:tableColumn id="6" name="Units"/>
    <x:tableColumn id="7" name="Average Basket"/>
    <x:tableColumn id="8" name="Wholesale Revenu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StorePerformanceTable" displayName="StorePerformanceTable" ref="A1:F4" headerRowCount="1" totalsRowCount="0" totalsRowShown="0">
  <x:tableColumns count="6">
    <x:tableColumn id="1" name="Location"/>
    <x:tableColumn id="2" name="Revenue"/>
    <x:tableColumn id="3" name="Profit"/>
    <x:tableColumn id="4" name="Units"/>
    <x:tableColumn id="5" name="Transactions"/>
    <x:tableColumn id="6" name="Average Basket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tegoryPerformanceTable" displayName="CategoryPerformanceTable" ref="A1:D13" headerRowCount="1" totalsRowCount="0" totalsRowShown="0">
  <x:tableColumns count="4">
    <x:tableColumn id="1" name="Category"/>
    <x:tableColumn id="2" name="Revenue"/>
    <x:tableColumn id="3" name="Profit"/>
    <x:tableColumn id="4" name="Unit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opProductsTable" displayName="TopProductsTable" ref="A1:E16" headerRowCount="1" totalsRowCount="0" totalsRowShown="0">
  <x:tableColumns count="5">
    <x:tableColumn id="1" name="SKU"/>
    <x:tableColumn id="2" name="Product"/>
    <x:tableColumn id="3" name="Revenue"/>
    <x:tableColumn id="4" name="Profit"/>
    <x:tableColumn id="5" name="Unit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BCXYZTable" displayName="ABCXYZTable" ref="A1:J31" headerRowCount="1" totalsRowCount="0" totalsRowShown="0">
  <x:tableColumns count="10">
    <x:tableColumn id="1" name="SKU"/>
    <x:tableColumn id="2" name="Product"/>
    <x:tableColumn id="3" name="Revenue"/>
    <x:tableColumn id="4" name="Revenue Share"/>
    <x:tableColumn id="5" name="Cumulative Share"/>
    <x:tableColumn id="6" name="ABC"/>
    <x:tableColumn id="7" name="Monthly Avg Units"/>
    <x:tableColumn id="8" name="CV"/>
    <x:tableColumn id="9" name="XYZ"/>
    <x:tableColumn id="10" name="Segmen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a2d45cc76a54c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022981e5f141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adc6d53a65645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29b886ca18452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1acc46e51254b7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b54fd8a9f4547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20000267028809" hidden="0" customWidth="1"/>
    <x:col min="2" max="2" width="10.220000267028809" hidden="0" customWidth="1"/>
    <x:col min="3" max="3" width="9.5600004196167" hidden="0" customWidth="1"/>
    <x:col min="4" max="4" width="9.5600004196167" hidden="0" customWidth="1"/>
    <x:col min="5" max="5" width="9.5600004196167" hidden="0" customWidth="1"/>
    <x:col min="6" max="6" width="9.5600004196167" hidden="0" customWidth="1"/>
    <x:col min="7" max="7" width="9.5600004196167" hidden="0" customWidth="1"/>
    <x:col min="8" max="8" width="9.5600004196167" hidden="0" customWidth="1"/>
    <x:col min="9" max="9" width="9.5600004196167" hidden="0" customWidth="1"/>
    <x:col min="10" max="10" width="9.5600004196167" hidden="0" customWidth="1"/>
    <x:col min="11" max="11" width="9.5600004196167" hidden="0" customWidth="1"/>
    <x:col min="12" max="12" width="9.5600004196167" hidden="0" customWidth="1"/>
    <x:col min="13" max="13" width="9.5600004196167" hidden="0" customWidth="1"/>
    <x:col min="14" max="14" width="9.5600004196167" hidden="0" customWidth="1"/>
    <x:col min="15" max="15" width="9.5600004196167" hidden="0" customWidth="1"/>
    <x:col min="16" max="16" width="9.5600004196167" hidden="0" customWidth="1"/>
    <x:col min="17" max="17" width="1.1100000143051147" hidden="0" customWidth="1"/>
    <x:col min="18" max="18" width="1.1100000143051147" hidden="0" customWidth="1"/>
    <x:col min="19" max="19" width="1.1100000143051147" hidden="0" customWidth="1"/>
    <x:col min="20" max="20" width="1.1100000143051147" hidden="0" customWidth="1"/>
    <x:col min="21" max="21" width="1.1100000143051147" hidden="0" customWidth="1"/>
    <x:col min="22" max="22" width="1.1100000143051147" hidden="0" customWidth="1"/>
    <x:col min="23" max="23" width="1.1100000143051147" hidden="0" customWidth="1"/>
    <x:col min="24" max="24" width="1.1100000143051147" hidden="0" customWidth="1"/>
    <x:col min="25" max="25" width="1.1100000143051147" hidden="0" customWidth="1"/>
    <x:col min="26" max="26" width="1.1100000143051147" hidden="0" customWidth="1"/>
  </x:cols>
  <x:sheetData>
    <x:row r="1" ht="16.5" customHeight="1">
      <x:c r="A1" s="106" t="str">
        <x:v>SALES
ANALYSIS</x:v>
      </x:c>
      <x:c r="B1" s="107"/>
      <x:c r="C1" s="110" t="str">
        <x:v>Retail Sales Dashboard</x:v>
      </x:c>
      <x:c r="D1" s="110"/>
      <x:c r="E1" s="110"/>
      <x:c r="F1" s="110"/>
      <x:c r="G1" s="110"/>
      <x:c r="H1" s="110"/>
      <x:c r="I1" s="110"/>
      <x:c r="J1" s="110"/>
      <x:c r="K1" s="110"/>
      <x:c r="L1" s="110"/>
      <x:c r="M1" s="110"/>
      <x:c r="N1" s="110"/>
      <x:c r="O1" s="110"/>
      <x:c r="P1" s="110"/>
    </x:row>
    <x:row r="2" ht="16.5" customHeight="1">
      <x:c r="A2" s="106"/>
      <x:c r="B2" s="107"/>
      <x:c r="C2" s="111"/>
      <x:c r="D2" s="111"/>
      <x:c r="E2" s="111"/>
      <x:c r="F2" s="111"/>
      <x:c r="G2" s="111"/>
      <x:c r="H2" s="111"/>
      <x:c r="I2" s="111"/>
      <x:c r="J2" s="111"/>
      <x:c r="K2" s="111"/>
      <x:c r="L2" s="111"/>
      <x:c r="M2" s="111"/>
      <x:c r="N2" s="111"/>
      <x:c r="O2" s="111"/>
      <x:c r="P2" s="111"/>
    </x:row>
    <x:row r="3" ht="16.5" customHeight="1">
      <x:c r="A3" s="98"/>
      <x:c r="B3" s="99"/>
      <x:c r="C3" s="112" t="str">
        <x:v>15 months · May 2025 to July 2026 · anonymized retail data</x:v>
      </x:c>
      <x:c r="D3" s="112"/>
      <x:c r="E3" s="112"/>
      <x:c r="F3" s="112"/>
      <x:c r="G3" s="112"/>
      <x:c r="H3" s="112"/>
      <x:c r="I3" s="112"/>
      <x:c r="J3" s="112"/>
      <x:c r="K3" s="112"/>
      <x:c r="L3" s="112"/>
      <x:c r="M3" s="112"/>
      <x:c r="N3" s="112"/>
      <x:c r="O3" s="112"/>
      <x:c r="P3" s="112"/>
    </x:row>
    <x:row r="4" ht="16.5" customHeight="1">
      <x:c r="A4" s="102" t="str">
        <x:v>CURRENT VIEW</x:v>
      </x:c>
      <x:c r="B4" s="103"/>
      <x:c r="C4" s="231" t="str">
        <x:v>Revenue</x:v>
      </x:c>
      <x:c r="D4" s="232"/>
      <x:c r="E4" s="233"/>
      <x:c r="F4" s="231" t="str">
        <x:v>Gross profit</x:v>
      </x:c>
      <x:c r="G4" s="232"/>
      <x:c r="H4" s="233"/>
      <x:c r="I4" s="231" t="str">
        <x:v>Margin</x:v>
      </x:c>
      <x:c r="J4" s="232"/>
      <x:c r="K4" s="233"/>
      <x:c r="L4" s="231" t="str">
        <x:v>Receipts</x:v>
      </x:c>
      <x:c r="M4" s="233"/>
      <x:c r="N4" s="231" t="str">
        <x:v>Average receipt</x:v>
      </x:c>
      <x:c r="O4" s="232"/>
      <x:c r="P4" s="233"/>
    </x:row>
    <x:row r="5" ht="16.5" customHeight="1">
      <x:c r="A5" s="124" t="str">
        <x:v>Retail channel</x:v>
      </x:c>
      <x:c r="B5" s="125"/>
      <x:c r="C5" s="234"/>
      <x:c r="D5" s="235"/>
      <x:c r="E5" s="236"/>
      <x:c r="F5" s="234"/>
      <x:c r="G5" s="235"/>
      <x:c r="H5" s="236"/>
      <x:c r="I5" s="234"/>
      <x:c r="J5" s="235"/>
      <x:c r="K5" s="236"/>
      <x:c r="L5" s="234"/>
      <x:c r="M5" s="236"/>
      <x:c r="N5" s="234"/>
      <x:c r="O5" s="235"/>
      <x:c r="P5" s="236"/>
    </x:row>
    <x:row r="6" ht="16.5" customHeight="1">
      <x:c r="A6" s="126"/>
      <x:c r="B6" s="127"/>
      <x:c r="C6" s="249" t="n">
        <x:f>SUM('Monthly'!B2:B16)</x:f>
        <x:v>231612.7202</x:v>
      </x:c>
      <x:c r="D6" s="250"/>
      <x:c r="E6" s="251"/>
      <x:c r="F6" s="249" t="n">
        <x:f>SUM('Monthly'!C2:C16)</x:f>
        <x:v>81727.56159999999</x:v>
      </x:c>
      <x:c r="G6" s="250"/>
      <x:c r="H6" s="251"/>
      <x:c r="I6" s="261" t="n">
        <x:f>SUM('Monthly'!C2:C16)/SUM('Monthly'!B2:B16)</x:f>
        <x:v>0.3528630099824715</x:v>
      </x:c>
      <x:c r="J6" s="262"/>
      <x:c r="K6" s="263"/>
      <x:c r="L6" s="271" t="n">
        <x:f>SUM('Monthly'!E2:E16)</x:f>
        <x:v>67055</x:v>
      </x:c>
      <x:c r="M6" s="272"/>
      <x:c r="N6" s="281" t="n">
        <x:f>SUM('Monthly'!B2:B16)/SUM('Monthly'!E2:E16)</x:f>
        <x:v>3.4540708403549325</x:v>
      </x:c>
      <x:c r="O6" s="282"/>
      <x:c r="P6" s="283"/>
    </x:row>
    <x:row r="7" ht="16.5" customHeight="1">
      <x:c r="A7" s="124" t="str">
        <x:v>All stores</x:v>
      </x:c>
      <x:c r="B7" s="125"/>
      <x:c r="C7" s="252"/>
      <x:c r="D7" s="253"/>
      <x:c r="E7" s="254"/>
      <x:c r="F7" s="252"/>
      <x:c r="G7" s="253"/>
      <x:c r="H7" s="254"/>
      <x:c r="I7" s="264"/>
      <x:c r="J7" s="265"/>
      <x:c r="K7" s="266"/>
      <x:c r="L7" s="273"/>
      <x:c r="M7" s="274"/>
      <x:c r="N7" s="284"/>
      <x:c r="O7" s="285"/>
      <x:c r="P7" s="286"/>
    </x:row>
    <x:row r="8" ht="16.5" customHeight="1">
      <x:c r="A8" s="126"/>
      <x:c r="B8" s="127"/>
      <x:c r="C8" s="96"/>
      <x:c r="D8" s="96"/>
      <x:c r="E8" s="96"/>
      <x:c r="F8" s="96"/>
      <x:c r="G8" s="96"/>
      <x:c r="H8" s="96"/>
      <x:c r="I8" s="96"/>
      <x:c r="J8" s="96"/>
      <x:c r="K8" s="96"/>
      <x:c r="L8" s="96"/>
      <x:c r="M8" s="96"/>
      <x:c r="N8" s="96"/>
      <x:c r="O8" s="96"/>
      <x:c r="P8" s="96"/>
    </x:row>
    <x:row r="9" ht="16.5" customHeight="1">
      <x:c r="A9" s="124" t="str">
        <x:v>May 2025
— Jul 2026</x:v>
      </x:c>
      <x:c r="B9" s="125"/>
      <x:c r="C9" s="96"/>
      <x:c r="D9" s="96"/>
      <x:c r="E9" s="96"/>
      <x:c r="F9" s="96"/>
      <x:c r="G9" s="96"/>
      <x:c r="H9" s="96"/>
      <x:c r="I9" s="96"/>
      <x:c r="J9" s="96"/>
      <x:c r="K9" s="96"/>
      <x:c r="L9" s="96"/>
      <x:c r="M9" s="96"/>
      <x:c r="N9" s="96"/>
      <x:c r="O9" s="96"/>
      <x:c r="P9" s="96"/>
    </x:row>
    <x:row r="10" ht="16.5" customHeight="1">
      <x:c r="A10" s="126"/>
      <x:c r="B10" s="127"/>
      <x:c r="C10" s="96"/>
      <x:c r="D10" s="96"/>
      <x:c r="E10" s="96"/>
      <x:c r="F10" s="96"/>
      <x:c r="G10" s="96"/>
      <x:c r="H10" s="96"/>
      <x:c r="I10" s="96"/>
      <x:c r="J10" s="96"/>
      <x:c r="K10" s="96"/>
      <x:c r="L10" s="96"/>
      <x:c r="M10" s="96"/>
      <x:c r="N10" s="96"/>
      <x:c r="O10" s="96"/>
      <x:c r="P10" s="96"/>
    </x:row>
    <x:row r="11" ht="16.5" customHeight="1">
      <x:c r="A11" s="98"/>
      <x:c r="B11" s="99"/>
      <x:c r="C11" s="96"/>
      <x:c r="D11" s="96"/>
      <x:c r="E11" s="96"/>
      <x:c r="F11" s="96"/>
      <x:c r="G11" s="96"/>
      <x:c r="H11" s="96"/>
      <x:c r="I11" s="96"/>
      <x:c r="J11" s="96"/>
      <x:c r="K11" s="96"/>
      <x:c r="L11" s="96"/>
      <x:c r="M11" s="96"/>
      <x:c r="N11" s="96"/>
      <x:c r="O11" s="96"/>
      <x:c r="P11" s="96"/>
    </x:row>
    <x:row r="12" ht="16.5" customHeight="1">
      <x:c r="A12" s="102" t="str">
        <x:v>ANALYSIS</x:v>
      </x:c>
      <x:c r="B12" s="103"/>
      <x:c r="C12" s="96"/>
      <x:c r="D12" s="96"/>
      <x:c r="E12" s="96"/>
      <x:c r="F12" s="96"/>
      <x:c r="G12" s="96"/>
      <x:c r="H12" s="96"/>
      <x:c r="I12" s="96"/>
      <x:c r="J12" s="96"/>
      <x:c r="K12" s="96"/>
      <x:c r="L12" s="96"/>
      <x:c r="M12" s="96"/>
      <x:c r="N12" s="96"/>
      <x:c r="O12" s="96"/>
      <x:c r="P12" s="96"/>
    </x:row>
    <x:row r="13" ht="16.5" customHeight="1">
      <x:c r="A13" s="140" t="str">
        <x:v>Monthly trend</x:v>
      </x:c>
      <x:c r="B13" s="141"/>
      <x:c r="C13" s="96"/>
      <x:c r="D13" s="96"/>
      <x:c r="E13" s="96"/>
      <x:c r="F13" s="96"/>
      <x:c r="G13" s="96"/>
      <x:c r="H13" s="96"/>
      <x:c r="I13" s="96"/>
      <x:c r="J13" s="96"/>
      <x:c r="K13" s="96"/>
      <x:c r="L13" s="96"/>
      <x:c r="M13" s="96"/>
      <x:c r="N13" s="96"/>
      <x:c r="O13" s="96"/>
      <x:c r="P13" s="96"/>
    </x:row>
    <x:row r="14" ht="16.5" customHeight="1">
      <x:c r="A14" s="142"/>
      <x:c r="B14" s="143"/>
      <x:c r="C14" s="96"/>
      <x:c r="D14" s="96"/>
      <x:c r="E14" s="96"/>
      <x:c r="F14" s="96"/>
      <x:c r="G14" s="96"/>
      <x:c r="H14" s="96"/>
      <x:c r="I14" s="96"/>
      <x:c r="J14" s="96"/>
      <x:c r="K14" s="96"/>
      <x:c r="L14" s="96"/>
      <x:c r="M14" s="96"/>
      <x:c r="N14" s="96"/>
      <x:c r="O14" s="96"/>
      <x:c r="P14" s="96"/>
    </x:row>
    <x:row r="15" ht="16.5" customHeight="1">
      <x:c r="A15" s="140" t="str">
        <x:v>Gross margin</x:v>
      </x:c>
      <x:c r="B15" s="141"/>
      <x:c r="C15" s="96"/>
      <x:c r="D15" s="96"/>
      <x:c r="E15" s="96"/>
      <x:c r="F15" s="96"/>
      <x:c r="G15" s="96"/>
      <x:c r="H15" s="96"/>
      <x:c r="I15" s="96"/>
      <x:c r="J15" s="96"/>
      <x:c r="K15" s="96"/>
      <x:c r="L15" s="96"/>
      <x:c r="M15" s="96"/>
      <x:c r="N15" s="96"/>
      <x:c r="O15" s="96"/>
      <x:c r="P15" s="96"/>
    </x:row>
    <x:row r="16" ht="16.5" customHeight="1">
      <x:c r="A16" s="142"/>
      <x:c r="B16" s="143"/>
      <x:c r="C16" s="96"/>
      <x:c r="D16" s="96"/>
      <x:c r="E16" s="96"/>
      <x:c r="F16" s="96"/>
      <x:c r="G16" s="96"/>
      <x:c r="H16" s="96"/>
      <x:c r="I16" s="96"/>
      <x:c r="J16" s="96"/>
      <x:c r="K16" s="96"/>
      <x:c r="L16" s="96"/>
      <x:c r="M16" s="96"/>
      <x:c r="N16" s="96"/>
      <x:c r="O16" s="96"/>
      <x:c r="P16" s="96"/>
    </x:row>
    <x:row r="17" ht="16.5" customHeight="1">
      <x:c r="A17" s="140" t="str">
        <x:v>Stores</x:v>
      </x:c>
      <x:c r="B17" s="141"/>
      <x:c r="C17" s="96"/>
      <x:c r="D17" s="96"/>
      <x:c r="E17" s="96"/>
      <x:c r="F17" s="96"/>
      <x:c r="G17" s="96"/>
      <x:c r="H17" s="96"/>
      <x:c r="I17" s="96"/>
      <x:c r="J17" s="96"/>
      <x:c r="K17" s="96"/>
      <x:c r="L17" s="96"/>
      <x:c r="M17" s="96"/>
      <x:c r="N17" s="96"/>
      <x:c r="O17" s="96"/>
      <x:c r="P17" s="96"/>
    </x:row>
    <x:row r="18" ht="16.5" customHeight="1">
      <x:c r="A18" s="142"/>
      <x:c r="B18" s="143"/>
      <x:c r="C18" s="96"/>
      <x:c r="D18" s="96"/>
      <x:c r="E18" s="96"/>
      <x:c r="F18" s="96"/>
      <x:c r="G18" s="96"/>
      <x:c r="H18" s="96"/>
      <x:c r="I18" s="96"/>
      <x:c r="J18" s="96"/>
      <x:c r="K18" s="96"/>
      <x:c r="L18" s="96"/>
      <x:c r="M18" s="96"/>
      <x:c r="N18" s="96"/>
      <x:c r="O18" s="96"/>
      <x:c r="P18" s="96"/>
    </x:row>
    <x:row r="19" ht="16.5" customHeight="1">
      <x:c r="A19" s="140" t="str">
        <x:v>Products</x:v>
      </x:c>
      <x:c r="B19" s="141"/>
      <x:c r="C19" s="96"/>
      <x:c r="D19" s="96"/>
      <x:c r="E19" s="96"/>
      <x:c r="F19" s="96"/>
      <x:c r="G19" s="96"/>
      <x:c r="H19" s="96"/>
      <x:c r="I19" s="96"/>
      <x:c r="J19" s="96"/>
      <x:c r="K19" s="96"/>
      <x:c r="L19" s="96"/>
      <x:c r="M19" s="96"/>
      <x:c r="N19" s="96"/>
      <x:c r="O19" s="96"/>
      <x:c r="P19" s="96"/>
    </x:row>
    <x:row r="20" ht="16.5" customHeight="1">
      <x:c r="A20" s="142"/>
      <x:c r="B20" s="143"/>
      <x:c r="C20" s="96"/>
      <x:c r="D20" s="96"/>
      <x:c r="E20" s="96"/>
      <x:c r="F20" s="96"/>
      <x:c r="G20" s="96"/>
      <x:c r="H20" s="96"/>
      <x:c r="I20" s="96"/>
      <x:c r="J20" s="96"/>
      <x:c r="K20" s="96"/>
      <x:c r="L20" s="96"/>
      <x:c r="M20" s="96"/>
      <x:c r="N20" s="96"/>
      <x:c r="O20" s="96"/>
      <x:c r="P20" s="96"/>
    </x:row>
    <x:row r="21" ht="16.5" customHeight="1">
      <x:c r="A21" s="98"/>
      <x:c r="B21" s="99"/>
      <x:c r="C21" s="96"/>
      <x:c r="D21" s="96"/>
      <x:c r="E21" s="96"/>
      <x:c r="F21" s="96"/>
      <x:c r="G21" s="96"/>
      <x:c r="H21" s="96"/>
      <x:c r="I21" s="96"/>
      <x:c r="J21" s="96"/>
      <x:c r="K21" s="96"/>
      <x:c r="L21" s="96"/>
      <x:c r="M21" s="96"/>
      <x:c r="N21" s="96"/>
      <x:c r="O21" s="96"/>
      <x:c r="P21" s="96"/>
    </x:row>
    <x:row r="22" ht="16.5" customHeight="1">
      <x:c r="A22" s="102" t="str">
        <x:v>KEY FINDINGS</x:v>
      </x:c>
      <x:c r="B22" s="103"/>
      <x:c r="C22" s="96"/>
      <x:c r="D22" s="96"/>
      <x:c r="E22" s="96"/>
      <x:c r="F22" s="96"/>
      <x:c r="G22" s="96"/>
      <x:c r="H22" s="96"/>
      <x:c r="I22" s="96"/>
      <x:c r="J22" s="96"/>
      <x:c r="K22" s="96"/>
      <x:c r="L22" s="96"/>
      <x:c r="M22" s="96"/>
      <x:c r="N22" s="96"/>
      <x:c r="O22" s="96"/>
      <x:c r="P22" s="96"/>
    </x:row>
    <x:row r="23" ht="16.5" customHeight="1">
      <x:c r="A23" s="160" t="str">
        <x:v>May–Jul YoY
−22.4%</x:v>
      </x:c>
      <x:c r="B23" s="161"/>
      <x:c r="C23" s="96"/>
      <x:c r="D23" s="96"/>
      <x:c r="E23" s="96"/>
      <x:c r="F23" s="96"/>
      <x:c r="G23" s="96"/>
      <x:c r="H23" s="96"/>
      <x:c r="I23" s="96"/>
      <x:c r="J23" s="96"/>
      <x:c r="K23" s="96"/>
      <x:c r="L23" s="96"/>
      <x:c r="M23" s="96"/>
      <x:c r="N23" s="96"/>
      <x:c r="O23" s="96"/>
      <x:c r="P23" s="96"/>
    </x:row>
    <x:row r="24" ht="16.5" customHeight="1">
      <x:c r="A24" s="162"/>
      <x:c r="B24" s="163"/>
      <x:c r="C24" s="96"/>
      <x:c r="D24" s="96"/>
      <x:c r="E24" s="96"/>
      <x:c r="F24" s="96"/>
      <x:c r="G24" s="96"/>
      <x:c r="H24" s="96"/>
      <x:c r="I24" s="96"/>
      <x:c r="J24" s="96"/>
      <x:c r="K24" s="96"/>
      <x:c r="L24" s="96"/>
      <x:c r="M24" s="96"/>
      <x:c r="N24" s="96"/>
      <x:c r="O24" s="96"/>
      <x:c r="P24" s="96"/>
    </x:row>
    <x:row r="25" ht="16.5" customHeight="1">
      <x:c r="A25" s="164"/>
      <x:c r="B25" s="165"/>
      <x:c r="C25" s="96"/>
      <x:c r="D25" s="96"/>
      <x:c r="E25" s="96"/>
      <x:c r="F25" s="96"/>
      <x:c r="G25" s="96"/>
      <x:c r="H25" s="96"/>
      <x:c r="I25" s="96"/>
      <x:c r="J25" s="96"/>
      <x:c r="K25" s="96"/>
      <x:c r="L25" s="96"/>
      <x:c r="M25" s="96"/>
      <x:c r="N25" s="96"/>
      <x:c r="O25" s="96"/>
      <x:c r="P25" s="96"/>
    </x:row>
    <x:row r="26" ht="16.5" customHeight="1">
      <x:c r="A26" s="182" t="str">
        <x:v>Return value rate
0.11%</x:v>
      </x:c>
      <x:c r="B26" s="183"/>
      <x:c r="C26" s="96"/>
      <x:c r="D26" s="96"/>
      <x:c r="E26" s="96"/>
      <x:c r="F26" s="96"/>
      <x:c r="G26" s="96"/>
      <x:c r="H26" s="96"/>
      <x:c r="I26" s="96"/>
      <x:c r="J26" s="96"/>
      <x:c r="K26" s="96"/>
      <x:c r="L26" s="96"/>
      <x:c r="M26" s="96"/>
      <x:c r="N26" s="96"/>
      <x:c r="O26" s="96"/>
      <x:c r="P26" s="96"/>
    </x:row>
    <x:row r="27" ht="16.5" customHeight="1">
      <x:c r="A27" s="184"/>
      <x:c r="B27" s="185"/>
      <x:c r="C27" s="96"/>
      <x:c r="D27" s="96"/>
      <x:c r="E27" s="96"/>
      <x:c r="F27" s="96"/>
      <x:c r="G27" s="96"/>
      <x:c r="H27" s="96"/>
      <x:c r="I27" s="96"/>
      <x:c r="J27" s="96"/>
      <x:c r="K27" s="96"/>
      <x:c r="L27" s="96"/>
      <x:c r="M27" s="96"/>
      <x:c r="N27" s="96"/>
      <x:c r="O27" s="96"/>
      <x:c r="P27" s="96"/>
    </x:row>
    <x:row r="28" ht="16.5" customHeight="1">
      <x:c r="A28" s="186"/>
      <x:c r="B28" s="187"/>
      <x:c r="C28" s="96"/>
      <x:c r="D28" s="96"/>
      <x:c r="E28" s="96"/>
      <x:c r="F28" s="96"/>
      <x:c r="G28" s="96"/>
      <x:c r="H28" s="96"/>
      <x:c r="I28" s="96"/>
      <x:c r="J28" s="96"/>
      <x:c r="K28" s="96"/>
      <x:c r="L28" s="96"/>
      <x:c r="M28" s="96"/>
      <x:c r="N28" s="96"/>
      <x:c r="O28" s="96"/>
      <x:c r="P28" s="96"/>
    </x:row>
    <x:row r="29" ht="16.5" customHeight="1">
      <x:c r="A29" s="140" t="str">
        <x:v>Wholesale share
19.6%</x:v>
      </x:c>
      <x:c r="B29" s="141"/>
      <x:c r="C29" s="96"/>
      <x:c r="D29" s="96"/>
      <x:c r="E29" s="96"/>
      <x:c r="F29" s="96"/>
      <x:c r="G29" s="96"/>
      <x:c r="H29" s="96"/>
      <x:c r="I29" s="96"/>
      <x:c r="J29" s="96"/>
      <x:c r="K29" s="96"/>
      <x:c r="L29" s="96"/>
      <x:c r="M29" s="96"/>
      <x:c r="N29" s="96"/>
      <x:c r="O29" s="96"/>
      <x:c r="P29" s="96"/>
    </x:row>
    <x:row r="30" ht="16.5" customHeight="1">
      <x:c r="A30" s="192"/>
      <x:c r="B30" s="193"/>
      <x:c r="C30" s="96"/>
      <x:c r="D30" s="96"/>
      <x:c r="E30" s="96"/>
      <x:c r="F30" s="96"/>
      <x:c r="G30" s="96"/>
      <x:c r="H30" s="96"/>
      <x:c r="I30" s="96"/>
      <x:c r="J30" s="96"/>
      <x:c r="K30" s="96"/>
      <x:c r="L30" s="96"/>
      <x:c r="M30" s="96"/>
      <x:c r="N30" s="96"/>
      <x:c r="O30" s="96"/>
      <x:c r="P30" s="96"/>
    </x:row>
    <x:row r="31" ht="16.5" customHeight="1">
      <x:c r="A31" s="142"/>
      <x:c r="B31" s="143"/>
      <x:c r="C31" s="96"/>
      <x:c r="D31" s="96"/>
      <x:c r="E31" s="96"/>
      <x:c r="F31" s="96"/>
      <x:c r="G31" s="96"/>
      <x:c r="H31" s="96"/>
      <x:c r="I31" s="96"/>
      <x:c r="J31" s="96"/>
      <x:c r="K31" s="96"/>
      <x:c r="L31" s="96"/>
      <x:c r="M31" s="96"/>
      <x:c r="N31" s="96"/>
      <x:c r="O31" s="96"/>
      <x:c r="P31" s="96"/>
    </x:row>
    <x:row r="32" ht="16.5" customHeight="1">
      <x:c r="A32" s="98"/>
      <x:c r="B32" s="99"/>
      <x:c r="C32" s="96"/>
      <x:c r="D32" s="96"/>
      <x:c r="E32" s="96"/>
      <x:c r="F32" s="96"/>
      <x:c r="G32" s="96"/>
      <x:c r="H32" s="96"/>
      <x:c r="I32" s="96"/>
      <x:c r="J32" s="96"/>
      <x:c r="K32" s="96"/>
      <x:c r="L32" s="96"/>
      <x:c r="M32" s="96"/>
      <x:c r="N32" s="96"/>
      <x:c r="O32" s="96"/>
      <x:c r="P32" s="96"/>
    </x:row>
    <x:row r="33" ht="16.5" customHeight="1">
      <x:c r="A33" s="207" t="str">
        <x:v>The dashboard uses the full cleaned dataset. The public CSV is an anonymized review sample.</x:v>
      </x:c>
      <x:c r="B33" s="208"/>
      <x:c r="C33" s="96"/>
      <x:c r="D33" s="96"/>
      <x:c r="E33" s="96"/>
      <x:c r="F33" s="96"/>
      <x:c r="G33" s="96"/>
      <x:c r="H33" s="96"/>
      <x:c r="I33" s="96"/>
      <x:c r="J33" s="96"/>
      <x:c r="K33" s="96"/>
      <x:c r="L33" s="96"/>
      <x:c r="M33" s="96"/>
      <x:c r="N33" s="96"/>
      <x:c r="O33" s="96"/>
      <x:c r="P33" s="96"/>
    </x:row>
    <x:row r="34" ht="16.5" customHeight="1">
      <x:c r="A34" s="209"/>
      <x:c r="B34" s="210"/>
      <x:c r="C34" s="96"/>
      <x:c r="D34" s="96"/>
      <x:c r="E34" s="96"/>
      <x:c r="F34" s="96"/>
      <x:c r="G34" s="96"/>
      <x:c r="H34" s="96"/>
      <x:c r="I34" s="96"/>
      <x:c r="J34" s="96"/>
      <x:c r="K34" s="96"/>
      <x:c r="L34" s="96"/>
      <x:c r="M34" s="96"/>
      <x:c r="N34" s="96"/>
      <x:c r="O34" s="96"/>
      <x:c r="P34" s="96"/>
    </x:row>
    <x:row r="35" ht="16.5" customHeight="1">
      <x:c r="A35" s="209"/>
      <x:c r="B35" s="210"/>
      <x:c r="C35" s="288" t="str">
        <x:v>TOP PRODUCTS BY RETAIL REVENUE</x:v>
      </x:c>
      <x:c r="D35" s="288"/>
      <x:c r="E35" s="288"/>
      <x:c r="F35" s="288"/>
      <x:c r="G35" s="288"/>
      <x:c r="H35" s="288"/>
      <x:c r="I35" s="288"/>
      <x:c r="J35" s="288"/>
      <x:c r="K35" s="288"/>
      <x:c r="L35" s="288"/>
      <x:c r="M35" s="288"/>
      <x:c r="N35" s="288"/>
      <x:c r="O35" s="288"/>
      <x:c r="P35" s="288"/>
    </x:row>
    <x:row r="36" ht="16.5" customHeight="1">
      <x:c r="A36" s="209"/>
      <x:c r="B36" s="210"/>
      <x:c r="C36" s="292" t="str">
        <x:v>SKU</x:v>
      </x:c>
      <x:c r="D36" s="292"/>
      <x:c r="E36" s="292" t="str">
        <x:v>Product</x:v>
      </x:c>
      <x:c r="F36" s="292"/>
      <x:c r="G36" s="292"/>
      <x:c r="H36" s="292" t="str">
        <x:v>Revenue</x:v>
      </x:c>
      <x:c r="I36" s="292"/>
      <x:c r="J36" s="292"/>
      <x:c r="K36" s="292" t="str">
        <x:v>Profit</x:v>
      </x:c>
      <x:c r="L36" s="292"/>
      <x:c r="M36" s="292"/>
      <x:c r="N36" s="292" t="str">
        <x:v>Units</x:v>
      </x:c>
      <x:c r="O36" s="292"/>
      <x:c r="P36" s="292"/>
    </x:row>
    <x:row r="37" ht="16.5" customHeight="1">
      <x:c r="A37" s="209"/>
      <x:c r="B37" s="210"/>
      <x:c r="C37" s="293" t="str">
        <x:f>'Top Products'!A2</x:f>
        <x:v>SKU1787</x:v>
      </x:c>
      <x:c r="D37" s="293"/>
      <x:c r="E37" s="293" t="str">
        <x:f>'Top Products'!B2</x:f>
        <x:v>Product 1787</x:v>
      </x:c>
      <x:c r="F37" s="293"/>
      <x:c r="G37" s="293"/>
      <x:c r="H37" s="295" t="n">
        <x:f>'Top Products'!C2</x:f>
        <x:v>6531.6269</x:v>
      </x:c>
      <x:c r="I37" s="295"/>
      <x:c r="J37" s="295"/>
      <x:c r="K37" s="295" t="n">
        <x:f>'Top Products'!D2</x:f>
        <x:v>1973.5992</x:v>
      </x:c>
      <x:c r="L37" s="295"/>
      <x:c r="M37" s="295"/>
      <x:c r="N37" s="297" t="n">
        <x:f>'Top Products'!E2</x:f>
        <x:v>2392</x:v>
      </x:c>
      <x:c r="O37" s="297"/>
      <x:c r="P37" s="297"/>
    </x:row>
    <x:row r="38" ht="16.5" customHeight="1">
      <x:c r="A38" s="211"/>
      <x:c r="B38" s="212"/>
      <x:c r="C38" s="300" t="str">
        <x:f>'Top Products'!A3</x:f>
        <x:v>SKU0581</x:v>
      </x:c>
      <x:c r="D38" s="300"/>
      <x:c r="E38" s="300" t="str">
        <x:f>'Top Products'!B3</x:f>
        <x:v>Product 0581</x:v>
      </x:c>
      <x:c r="F38" s="300"/>
      <x:c r="G38" s="300"/>
      <x:c r="H38" s="302" t="n">
        <x:f>'Top Products'!C3</x:f>
        <x:v>3265.1951</x:v>
      </x:c>
      <x:c r="I38" s="302"/>
      <x:c r="J38" s="302"/>
      <x:c r="K38" s="302" t="n">
        <x:f>'Top Products'!D3</x:f>
        <x:v>1414.1218</x:v>
      </x:c>
      <x:c r="L38" s="302"/>
      <x:c r="M38" s="302"/>
      <x:c r="N38" s="304" t="n">
        <x:f>'Top Products'!E3</x:f>
        <x:v>288</x:v>
      </x:c>
      <x:c r="O38" s="304"/>
      <x:c r="P38" s="304"/>
    </x:row>
    <x:row r="39" ht="16.5" customHeight="1">
      <x:c r="A39" s="98"/>
      <x:c r="B39" s="99"/>
      <x:c r="C39" s="293" t="str">
        <x:f>'Top Products'!A4</x:f>
        <x:v>SKU1790</x:v>
      </x:c>
      <x:c r="D39" s="293"/>
      <x:c r="E39" s="293" t="str">
        <x:f>'Top Products'!B4</x:f>
        <x:v>Product 1790</x:v>
      </x:c>
      <x:c r="F39" s="293"/>
      <x:c r="G39" s="293"/>
      <x:c r="H39" s="295" t="n">
        <x:f>'Top Products'!C4</x:f>
        <x:v>3231.4473</x:v>
      </x:c>
      <x:c r="I39" s="295"/>
      <x:c r="J39" s="295"/>
      <x:c r="K39" s="295" t="n">
        <x:f>'Top Products'!D4</x:f>
        <x:v>900.9156</x:v>
      </x:c>
      <x:c r="L39" s="295"/>
      <x:c r="M39" s="295"/>
      <x:c r="N39" s="297" t="n">
        <x:f>'Top Products'!E4</x:f>
        <x:v>1233</x:v>
      </x:c>
      <x:c r="O39" s="297"/>
      <x:c r="P39" s="297"/>
    </x:row>
    <x:row r="40" ht="16.5" customHeight="1">
      <x:c r="A40" s="98"/>
      <x:c r="B40" s="99"/>
      <x:c r="C40" s="300" t="str">
        <x:f>'Top Products'!A5</x:f>
        <x:v>SKU1795</x:v>
      </x:c>
      <x:c r="D40" s="300"/>
      <x:c r="E40" s="300" t="str">
        <x:f>'Top Products'!B5</x:f>
        <x:v>Product 1795</x:v>
      </x:c>
      <x:c r="F40" s="300"/>
      <x:c r="G40" s="300"/>
      <x:c r="H40" s="302" t="n">
        <x:f>'Top Products'!C5</x:f>
        <x:v>2639.0348</x:v>
      </x:c>
      <x:c r="I40" s="302"/>
      <x:c r="J40" s="302"/>
      <x:c r="K40" s="302" t="n">
        <x:f>'Top Products'!D5</x:f>
        <x:v>703.9673</x:v>
      </x:c>
      <x:c r="L40" s="302"/>
      <x:c r="M40" s="302"/>
      <x:c r="N40" s="304" t="n">
        <x:f>'Top Products'!E5</x:f>
        <x:v>327</x:v>
      </x:c>
      <x:c r="O40" s="304"/>
      <x:c r="P40" s="304"/>
    </x:row>
    <x:row r="41" ht="16.5" customHeight="1">
      <x:c r="A41" s="98"/>
      <x:c r="B41" s="99"/>
      <x:c r="C41" s="293" t="str">
        <x:f>'Top Products'!A6</x:f>
        <x:v>SKU0668</x:v>
      </x:c>
      <x:c r="D41" s="293"/>
      <x:c r="E41" s="293" t="str">
        <x:f>'Top Products'!B6</x:f>
        <x:v>Product 0668</x:v>
      </x:c>
      <x:c r="F41" s="293"/>
      <x:c r="G41" s="293"/>
      <x:c r="H41" s="295" t="n">
        <x:f>'Top Products'!C6</x:f>
        <x:v>2612.0266</x:v>
      </x:c>
      <x:c r="I41" s="295"/>
      <x:c r="J41" s="295"/>
      <x:c r="K41" s="295" t="n">
        <x:f>'Top Products'!D6</x:f>
        <x:v>771.7004</x:v>
      </x:c>
      <x:c r="L41" s="295"/>
      <x:c r="M41" s="295"/>
      <x:c r="N41" s="297" t="n">
        <x:f>'Top Products'!E6</x:f>
        <x:v>696</x:v>
      </x:c>
      <x:c r="O41" s="297"/>
      <x:c r="P41" s="297"/>
    </x:row>
    <x:row r="42" ht="16.5" customHeight="1">
      <x:c r="A42" s="98"/>
      <x:c r="B42" s="99"/>
      <x:c r="C42" s="300" t="str">
        <x:f>'Top Products'!A7</x:f>
        <x:v>SKU0021</x:v>
      </x:c>
      <x:c r="D42" s="300"/>
      <x:c r="E42" s="300" t="str">
        <x:f>'Top Products'!B7</x:f>
        <x:v>Product 0021</x:v>
      </x:c>
      <x:c r="F42" s="300"/>
      <x:c r="G42" s="300"/>
      <x:c r="H42" s="302" t="n">
        <x:f>'Top Products'!C7</x:f>
        <x:v>2561.5626</x:v>
      </x:c>
      <x:c r="I42" s="302"/>
      <x:c r="J42" s="302"/>
      <x:c r="K42" s="302" t="n">
        <x:f>'Top Products'!D7</x:f>
        <x:v>731.1596</x:v>
      </x:c>
      <x:c r="L42" s="302"/>
      <x:c r="M42" s="302"/>
      <x:c r="N42" s="304" t="n">
        <x:f>'Top Products'!E7</x:f>
        <x:v>130</x:v>
      </x:c>
      <x:c r="O42" s="304"/>
      <x:c r="P42" s="304"/>
    </x:row>
    <x:row r="43" ht="16.5" customHeight="1">
      <x:c r="A43" s="98"/>
      <x:c r="B43" s="99"/>
      <x:c r="C43" s="293" t="str">
        <x:f>'Top Products'!A8</x:f>
        <x:v>SKU1108</x:v>
      </x:c>
      <x:c r="D43" s="293"/>
      <x:c r="E43" s="293" t="str">
        <x:f>'Top Products'!B8</x:f>
        <x:v>Product 1108</x:v>
      </x:c>
      <x:c r="F43" s="293"/>
      <x:c r="G43" s="293"/>
      <x:c r="H43" s="295" t="n">
        <x:f>'Top Products'!C8</x:f>
        <x:v>2493.7516</x:v>
      </x:c>
      <x:c r="I43" s="295"/>
      <x:c r="J43" s="295"/>
      <x:c r="K43" s="295" t="n">
        <x:f>'Top Products'!D8</x:f>
        <x:v>759.9666</x:v>
      </x:c>
      <x:c r="L43" s="295"/>
      <x:c r="M43" s="295"/>
      <x:c r="N43" s="297" t="n">
        <x:f>'Top Products'!E8</x:f>
        <x:v>170</x:v>
      </x:c>
      <x:c r="O43" s="297"/>
      <x:c r="P43" s="297"/>
    </x:row>
    <x:row r="44" ht="16.5" customHeight="1">
      <x:c r="A44" s="98"/>
      <x:c r="B44" s="99"/>
      <x:c r="C44" s="96"/>
      <x:c r="D44" s="96"/>
      <x:c r="E44" s="96"/>
      <x:c r="F44" s="96"/>
      <x:c r="G44" s="96"/>
      <x:c r="H44" s="96"/>
      <x:c r="I44" s="96"/>
      <x:c r="J44" s="96"/>
      <x:c r="K44" s="96"/>
      <x:c r="L44" s="96"/>
      <x:c r="M44" s="96"/>
      <x:c r="N44" s="96"/>
      <x:c r="O44" s="96"/>
      <x:c r="P44" s="96"/>
    </x:row>
  </x:sheetData>
  <x:mergeCells>
    <x:mergeCell ref="A1:B2"/>
    <x:mergeCell ref="C1:P2"/>
    <x:mergeCell ref="C3:P3"/>
    <x:mergeCell ref="A4:B4"/>
    <x:mergeCell ref="A5:B6"/>
    <x:mergeCell ref="A7:B8"/>
    <x:mergeCell ref="A9:B10"/>
    <x:mergeCell ref="A12:B12"/>
    <x:mergeCell ref="A13:B14"/>
    <x:mergeCell ref="A15:B16"/>
    <x:mergeCell ref="A17:B18"/>
    <x:mergeCell ref="A19:B20"/>
    <x:mergeCell ref="A22:B22"/>
    <x:mergeCell ref="A23:B25"/>
    <x:mergeCell ref="A26:B28"/>
    <x:mergeCell ref="A29:B31"/>
    <x:mergeCell ref="A33:B38"/>
    <x:mergeCell ref="C4:E5"/>
    <x:mergeCell ref="C6:E7"/>
    <x:mergeCell ref="F4:H5"/>
    <x:mergeCell ref="F6:H7"/>
    <x:mergeCell ref="I4:K5"/>
    <x:mergeCell ref="I6:K7"/>
    <x:mergeCell ref="L4:M5"/>
    <x:mergeCell ref="L6:M7"/>
    <x:mergeCell ref="N4:P5"/>
    <x:mergeCell ref="N6:P7"/>
    <x:mergeCell ref="C35:P35"/>
    <x:mergeCell ref="C36:D36"/>
    <x:mergeCell ref="E36:G36"/>
    <x:mergeCell ref="H36:J36"/>
    <x:mergeCell ref="K36:M36"/>
    <x:mergeCell ref="N36:P36"/>
    <x:mergeCell ref="C37:D37"/>
    <x:mergeCell ref="E37:G37"/>
    <x:mergeCell ref="H37:J37"/>
    <x:mergeCell ref="K37:M37"/>
    <x:mergeCell ref="N37:P37"/>
    <x:mergeCell ref="C38:D38"/>
    <x:mergeCell ref="E38:G38"/>
    <x:mergeCell ref="H38:J38"/>
    <x:mergeCell ref="K38:M38"/>
    <x:mergeCell ref="N38:P38"/>
    <x:mergeCell ref="C39:D39"/>
    <x:mergeCell ref="E39:G39"/>
    <x:mergeCell ref="H39:J39"/>
    <x:mergeCell ref="K39:M39"/>
    <x:mergeCell ref="N39:P39"/>
    <x:mergeCell ref="C40:D40"/>
    <x:mergeCell ref="E40:G40"/>
    <x:mergeCell ref="H40:J40"/>
    <x:mergeCell ref="K40:M40"/>
    <x:mergeCell ref="N40:P40"/>
    <x:mergeCell ref="C41:D41"/>
    <x:mergeCell ref="E41:G41"/>
    <x:mergeCell ref="H41:J41"/>
    <x:mergeCell ref="K41:M41"/>
    <x:mergeCell ref="N41:P41"/>
    <x:mergeCell ref="C42:D42"/>
    <x:mergeCell ref="E42:G42"/>
    <x:mergeCell ref="H42:J42"/>
    <x:mergeCell ref="K42:M42"/>
    <x:mergeCell ref="N42:P42"/>
    <x:mergeCell ref="C43:D43"/>
    <x:mergeCell ref="E43:G43"/>
    <x:mergeCell ref="H43:J43"/>
    <x:mergeCell ref="K43:M43"/>
    <x:mergeCell ref="N43:P43"/>
  </x:mergeCells>
  <x:pageMargins left="0.7" right="0.7" top="0.75" bottom="0.75" header="0.3" footer="0.3"/>
  <x:drawing xmlns:r="http://schemas.openxmlformats.org/officeDocument/2006/relationships" r:id="R3a2d45cc76a54c9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.220000267028809" hidden="0" customWidth="1"/>
    <x:col min="3" max="3" width="11.109999656677246" hidden="0" customWidth="1"/>
    <x:col min="4" max="4" width="8.670000076293945" hidden="0" customWidth="1"/>
    <x:col min="5" max="5" width="10.5600004196167" hidden="0" customWidth="1"/>
    <x:col min="6" max="6" width="9.4399995803833" hidden="0" customWidth="1"/>
    <x:col min="7" max="7" width="12.220000267028809" hidden="0" customWidth="1"/>
    <x:col min="8" max="8" width="13.329999923706055" hidden="0" customWidth="1"/>
  </x:cols>
  <x:sheetData>
    <x:row r="1">
      <x:c r="A1" s="331" t="str">
        <x:v>Month</x:v>
      </x:c>
      <x:c r="B1" s="331" t="str">
        <x:v>Retail Revenue</x:v>
      </x:c>
      <x:c r="C1" s="331" t="str">
        <x:v>Retail Profit</x:v>
      </x:c>
      <x:c r="D1" s="331" t="str">
        <x:v>Margin</x:v>
      </x:c>
      <x:c r="E1" s="331" t="str">
        <x:v>Transactions</x:v>
      </x:c>
      <x:c r="F1" s="331" t="str">
        <x:v>Units</x:v>
      </x:c>
      <x:c r="G1" s="331" t="str">
        <x:v>Average Basket</x:v>
      </x:c>
      <x:c r="H1" s="331" t="str">
        <x:v>Wholesale Revenue</x:v>
      </x:c>
    </x:row>
    <x:row r="2" ht="16.5" customHeight="1">
      <x:c r="A2" s="332" t="str">
        <x:v>2025-05</x:v>
      </x:c>
      <x:c r="B2" s="333" t="n">
        <x:v>16987.6598</x:v>
      </x:c>
      <x:c r="C2" s="333" t="n">
        <x:v>6002.3444</x:v>
      </x:c>
      <x:c r="D2" s="334" t="n">
        <x:v>0.3533</x:v>
      </x:c>
      <x:c r="E2" s="335" t="n">
        <x:v>5017</x:v>
      </x:c>
      <x:c r="F2" s="335" t="n">
        <x:v>16169</x:v>
      </x:c>
      <x:c r="G2" s="336" t="n">
        <x:v>3.3860194937213475</x:v>
      </x:c>
      <x:c r="H2" s="337" t="n">
        <x:v>4565.7772</x:v>
      </x:c>
    </x:row>
    <x:row r="3" ht="16.5" customHeight="1">
      <x:c r="A3" s="319" t="str">
        <x:v>2025-06</x:v>
      </x:c>
      <x:c r="B3" s="320" t="n">
        <x:v>16678.9247</x:v>
      </x:c>
      <x:c r="C3" s="320" t="n">
        <x:v>5806.2513</x:v>
      </x:c>
      <x:c r="D3" s="321" t="n">
        <x:v>0.3481</x:v>
      </x:c>
      <x:c r="E3" s="322" t="n">
        <x:v>5154</x:v>
      </x:c>
      <x:c r="F3" s="322" t="n">
        <x:v>16502</x:v>
      </x:c>
      <x:c r="G3" s="323" t="n">
        <x:v>3.2361126697710514</x:v>
      </x:c>
      <x:c r="H3" s="324" t="n">
        <x:v>2030.2748</x:v>
      </x:c>
    </x:row>
    <x:row r="4" ht="16.5" customHeight="1">
      <x:c r="A4" s="332" t="str">
        <x:v>2025-07</x:v>
      </x:c>
      <x:c r="B4" s="333" t="n">
        <x:v>20908.3059</x:v>
      </x:c>
      <x:c r="C4" s="333" t="n">
        <x:v>6986.1349</x:v>
      </x:c>
      <x:c r="D4" s="334" t="n">
        <x:v>0.3341</x:v>
      </x:c>
      <x:c r="E4" s="335" t="n">
        <x:v>6557</x:v>
      </x:c>
      <x:c r="F4" s="335" t="n">
        <x:v>20285</x:v>
      </x:c>
      <x:c r="G4" s="336" t="n">
        <x:v>3.1887</x:v>
      </x:c>
      <x:c r="H4" s="337" t="n">
        <x:v>1589.3756</x:v>
      </x:c>
    </x:row>
    <x:row r="5" ht="16.5" customHeight="1">
      <x:c r="A5" s="319" t="str">
        <x:v>2025-08</x:v>
      </x:c>
      <x:c r="B5" s="320" t="n">
        <x:v>16936.175</x:v>
      </x:c>
      <x:c r="C5" s="320" t="n">
        <x:v>5216.3092</x:v>
      </x:c>
      <x:c r="D5" s="321" t="n">
        <x:v>0.308</x:v>
      </x:c>
      <x:c r="E5" s="322" t="n">
        <x:v>5409</x:v>
      </x:c>
      <x:c r="F5" s="322" t="n">
        <x:v>17615</x:v>
      </x:c>
      <x:c r="G5" s="323" t="n">
        <x:v>3.1311101867258273</x:v>
      </x:c>
      <x:c r="H5" s="324" t="n">
        <x:v>2393.7057</x:v>
      </x:c>
    </x:row>
    <x:row r="6" ht="16.5" customHeight="1">
      <x:c r="A6" s="332" t="str">
        <x:v>2025-09</x:v>
      </x:c>
      <x:c r="B6" s="333" t="n">
        <x:v>12444.2149</x:v>
      </x:c>
      <x:c r="C6" s="333" t="n">
        <x:v>4267.5073</x:v>
      </x:c>
      <x:c r="D6" s="334" t="n">
        <x:v>0.3429</x:v>
      </x:c>
      <x:c r="E6" s="335" t="n">
        <x:v>3845</x:v>
      </x:c>
      <x:c r="F6" s="335" t="n">
        <x:v>12607</x:v>
      </x:c>
      <x:c r="G6" s="336" t="n">
        <x:v>3.2364668140442134</x:v>
      </x:c>
      <x:c r="H6" s="337" t="n">
        <x:v>2507.4104</x:v>
      </x:c>
    </x:row>
    <x:row r="7" ht="16.5" customHeight="1">
      <x:c r="A7" s="319" t="str">
        <x:v>2025-10</x:v>
      </x:c>
      <x:c r="B7" s="320" t="n">
        <x:v>15425.5002</x:v>
      </x:c>
      <x:c r="C7" s="320" t="n">
        <x:v>5520.0407</x:v>
      </x:c>
      <x:c r="D7" s="321" t="n">
        <x:v>0.3579</x:v>
      </x:c>
      <x:c r="E7" s="322" t="n">
        <x:v>4541</x:v>
      </x:c>
      <x:c r="F7" s="322" t="n">
        <x:v>14844</x:v>
      </x:c>
      <x:c r="G7" s="323" t="n">
        <x:v>3.396939044263378</x:v>
      </x:c>
      <x:c r="H7" s="324" t="n">
        <x:v>1686.0444</x:v>
      </x:c>
    </x:row>
    <x:row r="8" ht="16.5" customHeight="1">
      <x:c r="A8" s="332" t="str">
        <x:v>2025-11</x:v>
      </x:c>
      <x:c r="B8" s="333" t="n">
        <x:v>14828.6389</x:v>
      </x:c>
      <x:c r="C8" s="333" t="n">
        <x:v>5450.7883</x:v>
      </x:c>
      <x:c r="D8" s="334" t="n">
        <x:v>0.3676</x:v>
      </x:c>
      <x:c r="E8" s="335" t="n">
        <x:v>3717</x:v>
      </x:c>
      <x:c r="F8" s="335" t="n">
        <x:v>12988</x:v>
      </x:c>
      <x:c r="G8" s="336" t="n">
        <x:v>3.989410519235943</x:v>
      </x:c>
      <x:c r="H8" s="337" t="n">
        <x:v>10548.0746</x:v>
      </x:c>
    </x:row>
    <x:row r="9" ht="16.5" customHeight="1">
      <x:c r="A9" s="319" t="str">
        <x:v>2025-12</x:v>
      </x:c>
      <x:c r="B9" s="320" t="n">
        <x:v>24908.383</x:v>
      </x:c>
      <x:c r="C9" s="320" t="n">
        <x:v>8849.1297</x:v>
      </x:c>
      <x:c r="D9" s="321" t="n">
        <x:v>0.3553</x:v>
      </x:c>
      <x:c r="E9" s="322" t="n">
        <x:v>5136</x:v>
      </x:c>
      <x:c r="F9" s="322" t="n">
        <x:v>19137</x:v>
      </x:c>
      <x:c r="G9" s="323" t="n">
        <x:v>4.84976304517134</x:v>
      </x:c>
      <x:c r="H9" s="324" t="n">
        <x:v>15168.6106</x:v>
      </x:c>
    </x:row>
    <x:row r="10" ht="16.5" customHeight="1">
      <x:c r="A10" s="332" t="str">
        <x:v>2026-01</x:v>
      </x:c>
      <x:c r="B10" s="333" t="n">
        <x:v>10719.9812</x:v>
      </x:c>
      <x:c r="C10" s="333" t="n">
        <x:v>3917.9192</x:v>
      </x:c>
      <x:c r="D10" s="334" t="n">
        <x:v>0.3655</x:v>
      </x:c>
      <x:c r="E10" s="335" t="n">
        <x:v>2916</x:v>
      </x:c>
      <x:c r="F10" s="335" t="n">
        <x:v>9101</x:v>
      </x:c>
      <x:c r="G10" s="336" t="n">
        <x:v>3.676262414266118</x:v>
      </x:c>
      <x:c r="H10" s="337" t="n">
        <x:v>2451.9657</x:v>
      </x:c>
    </x:row>
    <x:row r="11" ht="16.5" customHeight="1">
      <x:c r="A11" s="319" t="str">
        <x:v>2026-02</x:v>
      </x:c>
      <x:c r="B11" s="320" t="n">
        <x:v>13011.7689</x:v>
      </x:c>
      <x:c r="C11" s="320" t="n">
        <x:v>4606.0011</x:v>
      </x:c>
      <x:c r="D11" s="321" t="n">
        <x:v>0.354</x:v>
      </x:c>
      <x:c r="E11" s="322" t="n">
        <x:v>3578</x:v>
      </x:c>
      <x:c r="F11" s="322" t="n">
        <x:v>10636</x:v>
      </x:c>
      <x:c r="G11" s="323" t="n">
        <x:v>3.6366039407490214</x:v>
      </x:c>
      <x:c r="H11" s="324" t="n">
        <x:v>2387.3346</x:v>
      </x:c>
    </x:row>
    <x:row r="12" ht="16.5" customHeight="1">
      <x:c r="A12" s="332" t="str">
        <x:v>2026-03</x:v>
      </x:c>
      <x:c r="B12" s="333" t="n">
        <x:v>13539.7153</x:v>
      </x:c>
      <x:c r="C12" s="333" t="n">
        <x:v>4682.3227</x:v>
      </x:c>
      <x:c r="D12" s="334" t="n">
        <x:v>0.3458</x:v>
      </x:c>
      <x:c r="E12" s="335" t="n">
        <x:v>3607</x:v>
      </x:c>
      <x:c r="F12" s="335" t="n">
        <x:v>13868</x:v>
      </x:c>
      <x:c r="G12" s="336" t="n">
        <x:v>3.7537331023010814</x:v>
      </x:c>
      <x:c r="H12" s="337" t="n">
        <x:v>3129.4363</x:v>
      </x:c>
    </x:row>
    <x:row r="13" ht="16.5" customHeight="1">
      <x:c r="A13" s="319" t="str">
        <x:v>2026-04</x:v>
      </x:c>
      <x:c r="B13" s="320" t="n">
        <x:v>12863.1906</x:v>
      </x:c>
      <x:c r="C13" s="320" t="n">
        <x:v>4705.1624</x:v>
      </x:c>
      <x:c r="D13" s="321" t="n">
        <x:v>0.3658</x:v>
      </x:c>
      <x:c r="E13" s="322" t="n">
        <x:v>3900</x:v>
      </x:c>
      <x:c r="F13" s="322" t="n">
        <x:v>14228</x:v>
      </x:c>
      <x:c r="G13" s="323" t="n">
        <x:v>3.298254</x:v>
      </x:c>
      <x:c r="H13" s="324" t="n">
        <x:v>1565.9394</x:v>
      </x:c>
    </x:row>
    <x:row r="14" ht="16.5" customHeight="1">
      <x:c r="A14" s="332" t="str">
        <x:v>2026-05</x:v>
      </x:c>
      <x:c r="B14" s="333" t="n">
        <x:v>13767.2515</x:v>
      </x:c>
      <x:c r="C14" s="333" t="n">
        <x:v>4903.3058</x:v>
      </x:c>
      <x:c r="D14" s="334" t="n">
        <x:v>0.3562</x:v>
      </x:c>
      <x:c r="E14" s="335" t="n">
        <x:v>4131</x:v>
      </x:c>
      <x:c r="F14" s="335" t="n">
        <x:v>14833</x:v>
      </x:c>
      <x:c r="G14" s="336" t="n">
        <x:v>3.332667998063423</x:v>
      </x:c>
      <x:c r="H14" s="337" t="n">
        <x:v>2357.6774</x:v>
      </x:c>
    </x:row>
    <x:row r="15" ht="16.5" customHeight="1">
      <x:c r="A15" s="319" t="str">
        <x:v>2026-06</x:v>
      </x:c>
      <x:c r="B15" s="320" t="n">
        <x:v>12671.8922</x:v>
      </x:c>
      <x:c r="C15" s="320" t="n">
        <x:v>4726.9788</x:v>
      </x:c>
      <x:c r="D15" s="321" t="n">
        <x:v>0.373</x:v>
      </x:c>
      <x:c r="E15" s="322" t="n">
        <x:v>4353</x:v>
      </x:c>
      <x:c r="F15" s="322" t="n">
        <x:v>13953.754</x:v>
      </x:c>
      <x:c r="G15" s="323" t="n">
        <x:v>2.911071031472548</x:v>
      </x:c>
      <x:c r="H15" s="324" t="n">
        <x:v>2449.1703</x:v>
      </x:c>
    </x:row>
    <x:row r="16" ht="16.5" customHeight="1">
      <x:c r="A16" s="332" t="str">
        <x:v>2026-07</x:v>
      </x:c>
      <x:c r="B16" s="333" t="n">
        <x:v>15921.1181</x:v>
      </x:c>
      <x:c r="C16" s="333" t="n">
        <x:v>6087.3658</x:v>
      </x:c>
      <x:c r="D16" s="334" t="n">
        <x:v>0.3823</x:v>
      </x:c>
      <x:c r="E16" s="335" t="n">
        <x:v>5194</x:v>
      </x:c>
      <x:c r="F16" s="335" t="n">
        <x:v>16916.078</x:v>
      </x:c>
      <x:c r="G16" s="336" t="n">
        <x:v>3.0652903542549095</x:v>
      </x:c>
      <x:c r="H16" s="337" t="n">
        <x:v>1573.8513</x:v>
      </x:c>
    </x:row>
  </x:sheetData>
  <x:pageMargins left="0.7" right="0.7" top="0.75" bottom="0.75" header="0.3" footer="0.3"/>
  <x:tableParts count="1">
    <x:tablePart xmlns:r="http://schemas.openxmlformats.org/officeDocument/2006/relationships" r:id="Re4022981e5f1416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11.670000076293945" hidden="0" customWidth="1"/>
    <x:col min="3" max="3" width="11.670000076293945" hidden="0" customWidth="1"/>
    <x:col min="4" max="4" width="10.5600004196167" hidden="0" customWidth="1"/>
    <x:col min="5" max="5" width="12.220000267028809" hidden="0" customWidth="1"/>
    <x:col min="6" max="6" width="12.779999732971191" hidden="0" customWidth="1"/>
  </x:cols>
  <x:sheetData>
    <x:row r="1">
      <x:c r="A1" s="331" t="str">
        <x:v>Location</x:v>
      </x:c>
      <x:c r="B1" s="331" t="str">
        <x:v>Revenue</x:v>
      </x:c>
      <x:c r="C1" s="331" t="str">
        <x:v>Profit</x:v>
      </x:c>
      <x:c r="D1" s="331" t="str">
        <x:v>Units</x:v>
      </x:c>
      <x:c r="E1" s="331" t="str">
        <x:v>Transactions</x:v>
      </x:c>
      <x:c r="F1" s="331" t="str">
        <x:v>Average Basket</x:v>
      </x:c>
    </x:row>
    <x:row r="2" ht="16.5" customHeight="1">
      <x:c r="A2" s="332" t="str">
        <x:v>Store A</x:v>
      </x:c>
      <x:c r="B2" s="333" t="n">
        <x:v>64680.8127</x:v>
      </x:c>
      <x:c r="C2" s="333" t="n">
        <x:v>22745.1801</x:v>
      </x:c>
      <x:c r="D2" s="335" t="n">
        <x:v>68444.953</x:v>
      </x:c>
      <x:c r="E2" s="335" t="n">
        <x:v>17704</x:v>
      </x:c>
      <x:c r="F2" s="341" t="n">
        <x:v>3.6535</x:v>
      </x:c>
    </x:row>
    <x:row r="3" ht="16.5" customHeight="1">
      <x:c r="A3" s="319" t="str">
        <x:v>Store B</x:v>
      </x:c>
      <x:c r="B3" s="320" t="n">
        <x:v>72389.6619</x:v>
      </x:c>
      <x:c r="C3" s="320" t="n">
        <x:v>25658.6616</x:v>
      </x:c>
      <x:c r="D3" s="322" t="n">
        <x:v>70683.879</x:v>
      </x:c>
      <x:c r="E3" s="322" t="n">
        <x:v>21851</x:v>
      </x:c>
      <x:c r="F3" s="340" t="n">
        <x:v>3.3129</x:v>
      </x:c>
    </x:row>
    <x:row r="4" ht="16.5" customHeight="1">
      <x:c r="A4" s="332" t="str">
        <x:v>Store C</x:v>
      </x:c>
      <x:c r="B4" s="333" t="n">
        <x:v>94542.2456</x:v>
      </x:c>
      <x:c r="C4" s="333" t="n">
        <x:v>33323.72</x:v>
      </x:c>
      <x:c r="D4" s="335" t="n">
        <x:v>84554</x:v>
      </x:c>
      <x:c r="E4" s="335" t="n">
        <x:v>27500</x:v>
      </x:c>
      <x:c r="F4" s="341" t="n">
        <x:v>3.4379</x:v>
      </x:c>
    </x:row>
  </x:sheetData>
  <x:pageMargins left="0.7" right="0.7" top="0.75" bottom="0.75" header="0.3" footer="0.3"/>
  <x:tableParts count="1">
    <x:tablePart xmlns:r="http://schemas.openxmlformats.org/officeDocument/2006/relationships" r:id="R5adc6d53a656454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2.220000267028809" hidden="0" customWidth="1"/>
    <x:col min="3" max="3" width="12.220000267028809" hidden="0" customWidth="1"/>
    <x:col min="4" max="4" width="10.5600004196167" hidden="0" customWidth="1"/>
  </x:cols>
  <x:sheetData>
    <x:row r="1">
      <x:c r="A1" s="331" t="str">
        <x:v>Category</x:v>
      </x:c>
      <x:c r="B1" s="331" t="str">
        <x:v>Revenue</x:v>
      </x:c>
      <x:c r="C1" s="331" t="str">
        <x:v>Profit</x:v>
      </x:c>
      <x:c r="D1" s="331" t="str">
        <x:v>Units</x:v>
      </x:c>
    </x:row>
    <x:row r="2" ht="16.5" customHeight="1">
      <x:c r="A2" s="332" t="str">
        <x:v>Category 56</x:v>
      </x:c>
      <x:c r="B2" s="333" t="n">
        <x:v>23625.2777</x:v>
      </x:c>
      <x:c r="C2" s="333" t="n">
        <x:v>6850.3862</x:v>
      </x:c>
      <x:c r="D2" s="343" t="n">
        <x:v>15401.498</x:v>
      </x:c>
    </x:row>
    <x:row r="3" ht="16.5" customHeight="1">
      <x:c r="A3" s="319" t="str">
        <x:v>Category 20</x:v>
      </x:c>
      <x:c r="B3" s="320" t="n">
        <x:v>17927.7842</x:v>
      </x:c>
      <x:c r="C3" s="320" t="n">
        <x:v>8000.2373</x:v>
      </x:c>
      <x:c r="D3" s="342" t="n">
        <x:v>12874</x:v>
      </x:c>
    </x:row>
    <x:row r="4" ht="16.5" customHeight="1">
      <x:c r="A4" s="332" t="str">
        <x:v>Category 12</x:v>
      </x:c>
      <x:c r="B4" s="333" t="n">
        <x:v>17427.6096</x:v>
      </x:c>
      <x:c r="C4" s="333" t="n">
        <x:v>6595.9195</x:v>
      </x:c>
      <x:c r="D4" s="343" t="n">
        <x:v>13192</x:v>
      </x:c>
    </x:row>
    <x:row r="5" ht="16.5" customHeight="1">
      <x:c r="A5" s="319" t="str">
        <x:v>Category 64</x:v>
      </x:c>
      <x:c r="B5" s="320" t="n">
        <x:v>14589.3416</x:v>
      </x:c>
      <x:c r="C5" s="320" t="n">
        <x:v>4286.4767</x:v>
      </x:c>
      <x:c r="D5" s="342" t="n">
        <x:v>1722</x:v>
      </x:c>
    </x:row>
    <x:row r="6" ht="16.5" customHeight="1">
      <x:c r="A6" s="332" t="str">
        <x:v>Category 06</x:v>
      </x:c>
      <x:c r="B6" s="333" t="n">
        <x:v>10353.8931</x:v>
      </x:c>
      <x:c r="C6" s="333" t="n">
        <x:v>1601.8344</x:v>
      </x:c>
      <x:c r="D6" s="343" t="n">
        <x:v>13837</x:v>
      </x:c>
    </x:row>
    <x:row r="7" ht="16.5" customHeight="1">
      <x:c r="A7" s="319" t="str">
        <x:v>Category 26</x:v>
      </x:c>
      <x:c r="B7" s="320" t="n">
        <x:v>10198.1353</x:v>
      </x:c>
      <x:c r="C7" s="320" t="n">
        <x:v>4597.0886</x:v>
      </x:c>
      <x:c r="D7" s="342" t="n">
        <x:v>10744</x:v>
      </x:c>
    </x:row>
    <x:row r="8" ht="16.5" customHeight="1">
      <x:c r="A8" s="332" t="str">
        <x:v>Category 27</x:v>
      </x:c>
      <x:c r="B8" s="333" t="n">
        <x:v>9108.7686</x:v>
      </x:c>
      <x:c r="C8" s="333" t="n">
        <x:v>2852.4535</x:v>
      </x:c>
      <x:c r="D8" s="343" t="n">
        <x:v>2368</x:v>
      </x:c>
    </x:row>
    <x:row r="9" ht="16.5" customHeight="1">
      <x:c r="A9" s="319" t="str">
        <x:v>Category 22</x:v>
      </x:c>
      <x:c r="B9" s="320" t="n">
        <x:v>8927.8535</x:v>
      </x:c>
      <x:c r="C9" s="320" t="n">
        <x:v>3445.5935</x:v>
      </x:c>
      <x:c r="D9" s="342" t="n">
        <x:v>8055</x:v>
      </x:c>
    </x:row>
    <x:row r="10" ht="16.5" customHeight="1">
      <x:c r="A10" s="332" t="str">
        <x:v>Category 31</x:v>
      </x:c>
      <x:c r="B10" s="333" t="n">
        <x:v>8762.4843</x:v>
      </x:c>
      <x:c r="C10" s="333" t="n">
        <x:v>2737.6131</x:v>
      </x:c>
      <x:c r="D10" s="343" t="n">
        <x:v>6787</x:v>
      </x:c>
    </x:row>
    <x:row r="11" ht="16.5" customHeight="1">
      <x:c r="A11" s="319" t="str">
        <x:v>Category 32</x:v>
      </x:c>
      <x:c r="B11" s="320" t="n">
        <x:v>8521.4772</x:v>
      </x:c>
      <x:c r="C11" s="320" t="n">
        <x:v>3047.0303</x:v>
      </x:c>
      <x:c r="D11" s="342" t="n">
        <x:v>6163</x:v>
      </x:c>
    </x:row>
    <x:row r="12" ht="16.5" customHeight="1">
      <x:c r="A12" s="332" t="str">
        <x:v>Category 24</x:v>
      </x:c>
      <x:c r="B12" s="333" t="n">
        <x:v>8452.2386</x:v>
      </x:c>
      <x:c r="C12" s="333" t="n">
        <x:v>3478.12</x:v>
      </x:c>
      <x:c r="D12" s="343" t="n">
        <x:v>11015</x:v>
      </x:c>
    </x:row>
    <x:row r="13" ht="16.5" customHeight="1">
      <x:c r="A13" s="319" t="str">
        <x:v>Category 53</x:v>
      </x:c>
      <x:c r="B13" s="320" t="n">
        <x:v>7138.1411</x:v>
      </x:c>
      <x:c r="C13" s="320" t="n">
        <x:v>2085.7249</x:v>
      </x:c>
      <x:c r="D13" s="342" t="n">
        <x:v>2227</x:v>
      </x:c>
    </x:row>
  </x:sheetData>
  <x:conditionalFormatting sqref="B2:B13">
    <x:cfRule type="dataBar" priority="1">
      <x:dataBar>
        <x:cfvo type="min"/>
        <x:cfvo type="max"/>
        <x:color rgb="FF9BD7B8"/>
      </x:dataBar>
      <x:extLst>
        <x:ext xmlns:x14="http://schemas.microsoft.com/office/spreadsheetml/2009/9/main" uri="{B025F937-C7B1-47D3-B67F-A62EFF666E3E}">
          <x14:id>{CB463ADD-EC09-2A00-C3F3-4C4DC00992C6}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5429b886ca18452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CB463ADD-EC09-2A00-C3F3-4C4DC00992C6}">
            <x14:dataBar gradient="0">
              <x14:cfvo type="min"/>
              <x14:cfvo type="max"/>
              <x14:fillColor rgb="FF9BD7B8"/>
            </x14:dataBar>
          </x14:cfRule>
          <xm:sqref>B2:B13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.5600004196167" hidden="0" customWidth="1"/>
    <x:col min="3" max="3" width="12.220000267028809" hidden="0" customWidth="1"/>
    <x:col min="4" max="4" width="12.220000267028809" hidden="0" customWidth="1"/>
    <x:col min="5" max="5" width="10" hidden="0" customWidth="1"/>
  </x:cols>
  <x:sheetData>
    <x:row r="1">
      <x:c r="A1" s="331" t="str">
        <x:v>SKU</x:v>
      </x:c>
      <x:c r="B1" s="331" t="str">
        <x:v>Product</x:v>
      </x:c>
      <x:c r="C1" s="331" t="str">
        <x:v>Revenue</x:v>
      </x:c>
      <x:c r="D1" s="331" t="str">
        <x:v>Profit</x:v>
      </x:c>
      <x:c r="E1" s="331" t="str">
        <x:v>Units</x:v>
      </x:c>
    </x:row>
    <x:row r="2" ht="16.5" customHeight="1">
      <x:c r="A2" s="332" t="str">
        <x:v>SKU1787</x:v>
      </x:c>
      <x:c r="B2" s="345" t="str">
        <x:v>Product 1787</x:v>
      </x:c>
      <x:c r="C2" s="333" t="n">
        <x:v>6531.6269</x:v>
      </x:c>
      <x:c r="D2" s="333" t="n">
        <x:v>1973.5992</x:v>
      </x:c>
      <x:c r="E2" s="343" t="n">
        <x:v>2392</x:v>
      </x:c>
    </x:row>
    <x:row r="3" ht="16.5" customHeight="1">
      <x:c r="A3" s="319" t="str">
        <x:v>SKU0581</x:v>
      </x:c>
      <x:c r="B3" s="344" t="str">
        <x:v>Product 0581</x:v>
      </x:c>
      <x:c r="C3" s="320" t="n">
        <x:v>3265.1951</x:v>
      </x:c>
      <x:c r="D3" s="320" t="n">
        <x:v>1414.1218</x:v>
      </x:c>
      <x:c r="E3" s="342" t="n">
        <x:v>288</x:v>
      </x:c>
    </x:row>
    <x:row r="4" ht="16.5" customHeight="1">
      <x:c r="A4" s="332" t="str">
        <x:v>SKU1790</x:v>
      </x:c>
      <x:c r="B4" s="345" t="str">
        <x:v>Product 1790</x:v>
      </x:c>
      <x:c r="C4" s="333" t="n">
        <x:v>3231.4473</x:v>
      </x:c>
      <x:c r="D4" s="333" t="n">
        <x:v>900.9156</x:v>
      </x:c>
      <x:c r="E4" s="343" t="n">
        <x:v>1233</x:v>
      </x:c>
    </x:row>
    <x:row r="5" ht="16.5" customHeight="1">
      <x:c r="A5" s="319" t="str">
        <x:v>SKU1795</x:v>
      </x:c>
      <x:c r="B5" s="344" t="str">
        <x:v>Product 1795</x:v>
      </x:c>
      <x:c r="C5" s="320" t="n">
        <x:v>2639.0348</x:v>
      </x:c>
      <x:c r="D5" s="320" t="n">
        <x:v>703.9673</x:v>
      </x:c>
      <x:c r="E5" s="342" t="n">
        <x:v>327</x:v>
      </x:c>
    </x:row>
    <x:row r="6" ht="16.5" customHeight="1">
      <x:c r="A6" s="332" t="str">
        <x:v>SKU0668</x:v>
      </x:c>
      <x:c r="B6" s="345" t="str">
        <x:v>Product 0668</x:v>
      </x:c>
      <x:c r="C6" s="333" t="n">
        <x:v>2612.0266</x:v>
      </x:c>
      <x:c r="D6" s="333" t="n">
        <x:v>771.7004</x:v>
      </x:c>
      <x:c r="E6" s="343" t="n">
        <x:v>696</x:v>
      </x:c>
    </x:row>
    <x:row r="7" ht="16.5" customHeight="1">
      <x:c r="A7" s="319" t="str">
        <x:v>SKU0021</x:v>
      </x:c>
      <x:c r="B7" s="344" t="str">
        <x:v>Product 0021</x:v>
      </x:c>
      <x:c r="C7" s="320" t="n">
        <x:v>2561.5626</x:v>
      </x:c>
      <x:c r="D7" s="320" t="n">
        <x:v>731.1596</x:v>
      </x:c>
      <x:c r="E7" s="342" t="n">
        <x:v>130</x:v>
      </x:c>
    </x:row>
    <x:row r="8" ht="16.5" customHeight="1">
      <x:c r="A8" s="332" t="str">
        <x:v>SKU1108</x:v>
      </x:c>
      <x:c r="B8" s="345" t="str">
        <x:v>Product 1108</x:v>
      </x:c>
      <x:c r="C8" s="333" t="n">
        <x:v>2493.7516</x:v>
      </x:c>
      <x:c r="D8" s="333" t="n">
        <x:v>759.9666</x:v>
      </x:c>
      <x:c r="E8" s="343" t="n">
        <x:v>170</x:v>
      </x:c>
    </x:row>
    <x:row r="9" ht="16.5" customHeight="1">
      <x:c r="A9" s="319" t="str">
        <x:v>SKU0666</x:v>
      </x:c>
      <x:c r="B9" s="344" t="str">
        <x:v>Product 0666</x:v>
      </x:c>
      <x:c r="C9" s="320" t="n">
        <x:v>2407.2822</x:v>
      </x:c>
      <x:c r="D9" s="320" t="n">
        <x:v>813.2733</x:v>
      </x:c>
      <x:c r="E9" s="342" t="n">
        <x:v>588</x:v>
      </x:c>
    </x:row>
    <x:row r="10" ht="16.5" customHeight="1">
      <x:c r="A10" s="332" t="str">
        <x:v>SKU0664</x:v>
      </x:c>
      <x:c r="B10" s="345" t="str">
        <x:v>Product 0664</x:v>
      </x:c>
      <x:c r="C10" s="333" t="n">
        <x:v>2147.1353</x:v>
      </x:c>
      <x:c r="D10" s="333" t="n">
        <x:v>638.8854</x:v>
      </x:c>
      <x:c r="E10" s="343" t="n">
        <x:v>568</x:v>
      </x:c>
    </x:row>
    <x:row r="11" ht="16.5" customHeight="1">
      <x:c r="A11" s="319" t="str">
        <x:v>SKU1404</x:v>
      </x:c>
      <x:c r="B11" s="344" t="str">
        <x:v>Product 1404</x:v>
      </x:c>
      <x:c r="C11" s="320" t="n">
        <x:v>2107.1708</x:v>
      </x:c>
      <x:c r="D11" s="320" t="n">
        <x:v>876.591</x:v>
      </x:c>
      <x:c r="E11" s="342" t="n">
        <x:v>2192</x:v>
      </x:c>
    </x:row>
    <x:row r="12" ht="16.5" customHeight="1">
      <x:c r="A12" s="332" t="str">
        <x:v>SKU1077</x:v>
      </x:c>
      <x:c r="B12" s="345" t="str">
        <x:v>Product 1077</x:v>
      </x:c>
      <x:c r="C12" s="333" t="n">
        <x:v>2017.398</x:v>
      </x:c>
      <x:c r="D12" s="333" t="n">
        <x:v>980.1188</x:v>
      </x:c>
      <x:c r="E12" s="343" t="n">
        <x:v>1230</x:v>
      </x:c>
    </x:row>
    <x:row r="13" ht="16.5" customHeight="1">
      <x:c r="A13" s="319" t="str">
        <x:v>SKU0532</x:v>
      </x:c>
      <x:c r="B13" s="344" t="str">
        <x:v>Product 0532</x:v>
      </x:c>
      <x:c r="C13" s="320" t="n">
        <x:v>2006.3092</x:v>
      </x:c>
      <x:c r="D13" s="320" t="n">
        <x:v>950.8145</x:v>
      </x:c>
      <x:c r="E13" s="342" t="n">
        <x:v>675</x:v>
      </x:c>
    </x:row>
    <x:row r="14" ht="16.5" customHeight="1">
      <x:c r="A14" s="332" t="str">
        <x:v>SKU1686</x:v>
      </x:c>
      <x:c r="B14" s="345" t="str">
        <x:v>Product 1686</x:v>
      </x:c>
      <x:c r="C14" s="333" t="n">
        <x:v>1959.5553</x:v>
      </x:c>
      <x:c r="D14" s="333" t="n">
        <x:v>763.4917</x:v>
      </x:c>
      <x:c r="E14" s="343" t="n">
        <x:v>1508</x:v>
      </x:c>
    </x:row>
    <x:row r="15" ht="16.5" customHeight="1">
      <x:c r="A15" s="319" t="str">
        <x:v>SKU1326</x:v>
      </x:c>
      <x:c r="B15" s="344" t="str">
        <x:v>Product 1326</x:v>
      </x:c>
      <x:c r="C15" s="320" t="n">
        <x:v>1825.834</x:v>
      </x:c>
      <x:c r="D15" s="320" t="n">
        <x:v>657.1268</x:v>
      </x:c>
      <x:c r="E15" s="342" t="n">
        <x:v>1315</x:v>
      </x:c>
    </x:row>
    <x:row r="16" ht="16.5" customHeight="1">
      <x:c r="A16" s="332" t="str">
        <x:v>SKU1321</x:v>
      </x:c>
      <x:c r="B16" s="345" t="str">
        <x:v>Product 1321</x:v>
      </x:c>
      <x:c r="C16" s="333" t="n">
        <x:v>1744.4857</x:v>
      </x:c>
      <x:c r="D16" s="333" t="n">
        <x:v>623.9339</x:v>
      </x:c>
      <x:c r="E16" s="343" t="n">
        <x:v>1262</x:v>
      </x:c>
    </x:row>
  </x:sheetData>
  <x:conditionalFormatting sqref="C2:C16">
    <x:cfRule type="dataBar" priority="1">
      <x:dataBar>
        <x:cfvo type="min"/>
        <x:cfvo type="max"/>
        <x:color rgb="FF9BD7B8"/>
      </x:dataBar>
      <x:extLst>
        <x:ext xmlns:x14="http://schemas.microsoft.com/office/spreadsheetml/2009/9/main" uri="{B025F937-C7B1-47D3-B67F-A62EFF666E3E}">
          <x14:id>{2A1C6B3B-D398-0182-BCF9-387A407B46A9}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01acc46e51254b7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A1C6B3B-D398-0182-BCF9-387A407B46A9}">
            <x14:dataBar gradient="0">
              <x14:cfvo type="min"/>
              <x14:cfvo type="max"/>
              <x14:fillColor rgb="FF9BD7B8"/>
            </x14:dataBar>
          </x14:cfRule>
          <xm:sqref>C2:C16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4399995803833" hidden="0" customWidth="1"/>
    <x:col min="2" max="2" width="13.890000343322754" hidden="0" customWidth="1"/>
    <x:col min="3" max="3" width="11.670000076293945" hidden="0" customWidth="1"/>
    <x:col min="4" max="4" width="11.109999656677246" hidden="0" customWidth="1"/>
    <x:col min="5" max="5" width="12.220000267028809" hidden="0" customWidth="1"/>
    <x:col min="6" max="6" width="6.670000076293945" hidden="0" customWidth="1"/>
    <x:col min="7" max="7" width="12.779999732971191" hidden="0" customWidth="1"/>
    <x:col min="8" max="8" width="7.78000020980835" hidden="0" customWidth="1"/>
    <x:col min="9" max="9" width="6.670000076293945" hidden="0" customWidth="1"/>
    <x:col min="10" max="10" width="8.329999923706055" hidden="0" customWidth="1"/>
  </x:cols>
  <x:sheetData>
    <x:row r="1">
      <x:c r="A1" s="331" t="str">
        <x:v>SKU</x:v>
      </x:c>
      <x:c r="B1" s="331" t="str">
        <x:v>Product</x:v>
      </x:c>
      <x:c r="C1" s="331" t="str">
        <x:v>Revenue</x:v>
      </x:c>
      <x:c r="D1" s="331" t="str">
        <x:v>Revenue Share</x:v>
      </x:c>
      <x:c r="E1" s="331" t="str">
        <x:v>Cumulative Share</x:v>
      </x:c>
      <x:c r="F1" s="331" t="str">
        <x:v>ABC</x:v>
      </x:c>
      <x:c r="G1" s="331" t="str">
        <x:v>Monthly Avg Units</x:v>
      </x:c>
      <x:c r="H1" s="331" t="str">
        <x:v>CV</x:v>
      </x:c>
      <x:c r="I1" s="331" t="str">
        <x:v>XYZ</x:v>
      </x:c>
      <x:c r="J1" s="331" t="str">
        <x:v>Segment</x:v>
      </x:c>
    </x:row>
    <x:row r="2" ht="16.5" customHeight="1">
      <x:c r="A2" s="332" t="str">
        <x:v>SKU1787</x:v>
      </x:c>
      <x:c r="B2" s="345" t="str">
        <x:v>Product 1787</x:v>
      </x:c>
      <x:c r="C2" s="333" t="n">
        <x:v>6531.6269</x:v>
      </x:c>
      <x:c r="D2" s="334" t="n">
        <x:v>0.0282</x:v>
      </x:c>
      <x:c r="E2" s="334" t="n">
        <x:v>0.0282</x:v>
      </x:c>
      <x:c r="F2" s="345" t="str">
        <x:v>A</x:v>
      </x:c>
      <x:c r="G2" s="350" t="n">
        <x:v>159.4667</x:v>
      </x:c>
      <x:c r="H2" s="350" t="n">
        <x:v>0.7483</x:v>
      </x:c>
      <x:c r="I2" s="345" t="str">
        <x:v>Y</x:v>
      </x:c>
      <x:c r="J2" s="351" t="str">
        <x:v>AY</x:v>
      </x:c>
    </x:row>
    <x:row r="3" ht="16.5" customHeight="1">
      <x:c r="A3" s="319" t="str">
        <x:v>SKU0581</x:v>
      </x:c>
      <x:c r="B3" s="344" t="str">
        <x:v>Product 0581</x:v>
      </x:c>
      <x:c r="C3" s="320" t="n">
        <x:v>3265.1951</x:v>
      </x:c>
      <x:c r="D3" s="321" t="n">
        <x:v>0.0141</x:v>
      </x:c>
      <x:c r="E3" s="321" t="n">
        <x:v>0.0423</x:v>
      </x:c>
      <x:c r="F3" s="344" t="str">
        <x:v>A</x:v>
      </x:c>
      <x:c r="G3" s="348" t="n">
        <x:v>19.2</x:v>
      </x:c>
      <x:c r="H3" s="348" t="n">
        <x:v>0.8629</x:v>
      </x:c>
      <x:c r="I3" s="344" t="str">
        <x:v>Y</x:v>
      </x:c>
      <x:c r="J3" s="349" t="str">
        <x:v>AY</x:v>
      </x:c>
    </x:row>
    <x:row r="4" ht="16.5" customHeight="1">
      <x:c r="A4" s="332" t="str">
        <x:v>SKU1790</x:v>
      </x:c>
      <x:c r="B4" s="345" t="str">
        <x:v>Product 1790</x:v>
      </x:c>
      <x:c r="C4" s="333" t="n">
        <x:v>3231.4473</x:v>
      </x:c>
      <x:c r="D4" s="334" t="n">
        <x:v>0.0139</x:v>
      </x:c>
      <x:c r="E4" s="334" t="n">
        <x:v>0.0562</x:v>
      </x:c>
      <x:c r="F4" s="345" t="str">
        <x:v>A</x:v>
      </x:c>
      <x:c r="G4" s="350" t="n">
        <x:v>82.2</x:v>
      </x:c>
      <x:c r="H4" s="350" t="n">
        <x:v>0.8974</x:v>
      </x:c>
      <x:c r="I4" s="345" t="str">
        <x:v>Y</x:v>
      </x:c>
      <x:c r="J4" s="351" t="str">
        <x:v>AY</x:v>
      </x:c>
    </x:row>
    <x:row r="5" ht="16.5" customHeight="1">
      <x:c r="A5" s="319" t="str">
        <x:v>SKU1795</x:v>
      </x:c>
      <x:c r="B5" s="344" t="str">
        <x:v>Product 1795</x:v>
      </x:c>
      <x:c r="C5" s="320" t="n">
        <x:v>2639.0348</x:v>
      </x:c>
      <x:c r="D5" s="321" t="n">
        <x:v>0.0114</x:v>
      </x:c>
      <x:c r="E5" s="321" t="n">
        <x:v>0.0676</x:v>
      </x:c>
      <x:c r="F5" s="344" t="str">
        <x:v>A</x:v>
      </x:c>
      <x:c r="G5" s="348" t="n">
        <x:v>21.8</x:v>
      </x:c>
      <x:c r="H5" s="348" t="n">
        <x:v>0.6039</x:v>
      </x:c>
      <x:c r="I5" s="344" t="str">
        <x:v>Y</x:v>
      </x:c>
      <x:c r="J5" s="349" t="str">
        <x:v>AY</x:v>
      </x:c>
    </x:row>
    <x:row r="6" ht="16.5" customHeight="1">
      <x:c r="A6" s="332" t="str">
        <x:v>SKU0668</x:v>
      </x:c>
      <x:c r="B6" s="345" t="str">
        <x:v>Product 0668</x:v>
      </x:c>
      <x:c r="C6" s="333" t="n">
        <x:v>2612.0266</x:v>
      </x:c>
      <x:c r="D6" s="334" t="n">
        <x:v>0.0113</x:v>
      </x:c>
      <x:c r="E6" s="334" t="n">
        <x:v>0.0788</x:v>
      </x:c>
      <x:c r="F6" s="345" t="str">
        <x:v>A</x:v>
      </x:c>
      <x:c r="G6" s="350" t="n">
        <x:v>46.4</x:v>
      </x:c>
      <x:c r="H6" s="350" t="n">
        <x:v>0.6037</x:v>
      </x:c>
      <x:c r="I6" s="345" t="str">
        <x:v>Y</x:v>
      </x:c>
      <x:c r="J6" s="351" t="str">
        <x:v>AY</x:v>
      </x:c>
    </x:row>
    <x:row r="7" ht="16.5" customHeight="1">
      <x:c r="A7" s="319" t="str">
        <x:v>SKU0021</x:v>
      </x:c>
      <x:c r="B7" s="344" t="str">
        <x:v>Product 0021</x:v>
      </x:c>
      <x:c r="C7" s="320" t="n">
        <x:v>2561.5626</x:v>
      </x:c>
      <x:c r="D7" s="321" t="n">
        <x:v>0.011</x:v>
      </x:c>
      <x:c r="E7" s="321" t="n">
        <x:v>0.0899</x:v>
      </x:c>
      <x:c r="F7" s="344" t="str">
        <x:v>A</x:v>
      </x:c>
      <x:c r="G7" s="348" t="n">
        <x:v>8.6667</x:v>
      </x:c>
      <x:c r="H7" s="348" t="n">
        <x:v>1.6403</x:v>
      </x:c>
      <x:c r="I7" s="344" t="str">
        <x:v>Z</x:v>
      </x:c>
      <x:c r="J7" s="349" t="str">
        <x:v>AZ</x:v>
      </x:c>
    </x:row>
    <x:row r="8" ht="16.5" customHeight="1">
      <x:c r="A8" s="332" t="str">
        <x:v>SKU1108</x:v>
      </x:c>
      <x:c r="B8" s="345" t="str">
        <x:v>Product 1108</x:v>
      </x:c>
      <x:c r="C8" s="333" t="n">
        <x:v>2493.7516</x:v>
      </x:c>
      <x:c r="D8" s="334" t="n">
        <x:v>0.0108</x:v>
      </x:c>
      <x:c r="E8" s="334" t="n">
        <x:v>0.1006</x:v>
      </x:c>
      <x:c r="F8" s="345" t="str">
        <x:v>A</x:v>
      </x:c>
      <x:c r="G8" s="350" t="n">
        <x:v>11.3333</x:v>
      </x:c>
      <x:c r="H8" s="350" t="n">
        <x:v>1.159</x:v>
      </x:c>
      <x:c r="I8" s="345" t="str">
        <x:v>Z</x:v>
      </x:c>
      <x:c r="J8" s="351" t="str">
        <x:v>AZ</x:v>
      </x:c>
    </x:row>
    <x:row r="9" ht="16.5" customHeight="1">
      <x:c r="A9" s="319" t="str">
        <x:v>SKU0666</x:v>
      </x:c>
      <x:c r="B9" s="344" t="str">
        <x:v>Product 0666</x:v>
      </x:c>
      <x:c r="C9" s="320" t="n">
        <x:v>2407.2822</x:v>
      </x:c>
      <x:c r="D9" s="321" t="n">
        <x:v>0.0104</x:v>
      </x:c>
      <x:c r="E9" s="321" t="n">
        <x:v>0.111</x:v>
      </x:c>
      <x:c r="F9" s="344" t="str">
        <x:v>A</x:v>
      </x:c>
      <x:c r="G9" s="348" t="n">
        <x:v>39.2</x:v>
      </x:c>
      <x:c r="H9" s="348" t="n">
        <x:v>0.6444</x:v>
      </x:c>
      <x:c r="I9" s="344" t="str">
        <x:v>Y</x:v>
      </x:c>
      <x:c r="J9" s="349" t="str">
        <x:v>AY</x:v>
      </x:c>
    </x:row>
    <x:row r="10" ht="16.5" customHeight="1">
      <x:c r="A10" s="332" t="str">
        <x:v>SKU0664</x:v>
      </x:c>
      <x:c r="B10" s="345" t="str">
        <x:v>Product 0664</x:v>
      </x:c>
      <x:c r="C10" s="333" t="n">
        <x:v>2147.1353</x:v>
      </x:c>
      <x:c r="D10" s="334" t="n">
        <x:v>0.0093</x:v>
      </x:c>
      <x:c r="E10" s="334" t="n">
        <x:v>0.1203</x:v>
      </x:c>
      <x:c r="F10" s="345" t="str">
        <x:v>A</x:v>
      </x:c>
      <x:c r="G10" s="350" t="n">
        <x:v>37.8667</x:v>
      </x:c>
      <x:c r="H10" s="350" t="n">
        <x:v>0.5608</x:v>
      </x:c>
      <x:c r="I10" s="345" t="str">
        <x:v>Y</x:v>
      </x:c>
      <x:c r="J10" s="351" t="str">
        <x:v>AY</x:v>
      </x:c>
    </x:row>
    <x:row r="11" ht="16.5" customHeight="1">
      <x:c r="A11" s="319" t="str">
        <x:v>SKU1404</x:v>
      </x:c>
      <x:c r="B11" s="344" t="str">
        <x:v>Product 1404</x:v>
      </x:c>
      <x:c r="C11" s="320" t="n">
        <x:v>2107.1708</x:v>
      </x:c>
      <x:c r="D11" s="321" t="n">
        <x:v>0.0091</x:v>
      </x:c>
      <x:c r="E11" s="321" t="n">
        <x:v>0.1294</x:v>
      </x:c>
      <x:c r="F11" s="344" t="str">
        <x:v>A</x:v>
      </x:c>
      <x:c r="G11" s="348" t="n">
        <x:v>146.1333</x:v>
      </x:c>
      <x:c r="H11" s="348" t="n">
        <x:v>0.5669</x:v>
      </x:c>
      <x:c r="I11" s="344" t="str">
        <x:v>Y</x:v>
      </x:c>
      <x:c r="J11" s="349" t="str">
        <x:v>AY</x:v>
      </x:c>
    </x:row>
    <x:row r="12" ht="16.5" customHeight="1">
      <x:c r="A12" s="332" t="str">
        <x:v>SKU1077</x:v>
      </x:c>
      <x:c r="B12" s="345" t="str">
        <x:v>Product 1077</x:v>
      </x:c>
      <x:c r="C12" s="333" t="n">
        <x:v>2017.398</x:v>
      </x:c>
      <x:c r="D12" s="334" t="n">
        <x:v>0.0087</x:v>
      </x:c>
      <x:c r="E12" s="334" t="n">
        <x:v>0.1381</x:v>
      </x:c>
      <x:c r="F12" s="345" t="str">
        <x:v>A</x:v>
      </x:c>
      <x:c r="G12" s="350" t="n">
        <x:v>82</x:v>
      </x:c>
      <x:c r="H12" s="350" t="n">
        <x:v>0.5414</x:v>
      </x:c>
      <x:c r="I12" s="345" t="str">
        <x:v>Y</x:v>
      </x:c>
      <x:c r="J12" s="351" t="str">
        <x:v>AY</x:v>
      </x:c>
    </x:row>
    <x:row r="13" ht="16.5" customHeight="1">
      <x:c r="A13" s="319" t="str">
        <x:v>SKU0532</x:v>
      </x:c>
      <x:c r="B13" s="344" t="str">
        <x:v>Product 0532</x:v>
      </x:c>
      <x:c r="C13" s="320" t="n">
        <x:v>2006.3092</x:v>
      </x:c>
      <x:c r="D13" s="321" t="n">
        <x:v>0.0087</x:v>
      </x:c>
      <x:c r="E13" s="321" t="n">
        <x:v>0.1467</x:v>
      </x:c>
      <x:c r="F13" s="344" t="str">
        <x:v>A</x:v>
      </x:c>
      <x:c r="G13" s="348" t="n">
        <x:v>45</x:v>
      </x:c>
      <x:c r="H13" s="348" t="n">
        <x:v>0.5513</x:v>
      </x:c>
      <x:c r="I13" s="344" t="str">
        <x:v>Y</x:v>
      </x:c>
      <x:c r="J13" s="349" t="str">
        <x:v>AY</x:v>
      </x:c>
    </x:row>
    <x:row r="14" ht="16.5" customHeight="1">
      <x:c r="A14" s="332" t="str">
        <x:v>SKU1686</x:v>
      </x:c>
      <x:c r="B14" s="345" t="str">
        <x:v>Product 1686</x:v>
      </x:c>
      <x:c r="C14" s="333" t="n">
        <x:v>1959.5553</x:v>
      </x:c>
      <x:c r="D14" s="334" t="n">
        <x:v>0.0085</x:v>
      </x:c>
      <x:c r="E14" s="334" t="n">
        <x:v>0.1552</x:v>
      </x:c>
      <x:c r="F14" s="345" t="str">
        <x:v>A</x:v>
      </x:c>
      <x:c r="G14" s="350" t="n">
        <x:v>100.5333</x:v>
      </x:c>
      <x:c r="H14" s="350" t="n">
        <x:v>0.8865</x:v>
      </x:c>
      <x:c r="I14" s="345" t="str">
        <x:v>Y</x:v>
      </x:c>
      <x:c r="J14" s="351" t="str">
        <x:v>AY</x:v>
      </x:c>
    </x:row>
    <x:row r="15" ht="16.5" customHeight="1">
      <x:c r="A15" s="319" t="str">
        <x:v>SKU1326</x:v>
      </x:c>
      <x:c r="B15" s="344" t="str">
        <x:v>Product 1326</x:v>
      </x:c>
      <x:c r="C15" s="320" t="n">
        <x:v>1825.834</x:v>
      </x:c>
      <x:c r="D15" s="321" t="n">
        <x:v>0.0079</x:v>
      </x:c>
      <x:c r="E15" s="321" t="n">
        <x:v>0.163</x:v>
      </x:c>
      <x:c r="F15" s="344" t="str">
        <x:v>A</x:v>
      </x:c>
      <x:c r="G15" s="348" t="n">
        <x:v>87.6667</x:v>
      </x:c>
      <x:c r="H15" s="348" t="n">
        <x:v>0.6629</x:v>
      </x:c>
      <x:c r="I15" s="344" t="str">
        <x:v>Y</x:v>
      </x:c>
      <x:c r="J15" s="349" t="str">
        <x:v>AY</x:v>
      </x:c>
    </x:row>
    <x:row r="16" ht="16.5" customHeight="1">
      <x:c r="A16" s="332" t="str">
        <x:v>SKU1321</x:v>
      </x:c>
      <x:c r="B16" s="345" t="str">
        <x:v>Product 1321</x:v>
      </x:c>
      <x:c r="C16" s="333" t="n">
        <x:v>1744.4857</x:v>
      </x:c>
      <x:c r="D16" s="334" t="n">
        <x:v>0.0075</x:v>
      </x:c>
      <x:c r="E16" s="334" t="n">
        <x:v>0.1706</x:v>
      </x:c>
      <x:c r="F16" s="345" t="str">
        <x:v>A</x:v>
      </x:c>
      <x:c r="G16" s="350" t="n">
        <x:v>84.1333</x:v>
      </x:c>
      <x:c r="H16" s="350" t="n">
        <x:v>0.5668</x:v>
      </x:c>
      <x:c r="I16" s="345" t="str">
        <x:v>Y</x:v>
      </x:c>
      <x:c r="J16" s="351" t="str">
        <x:v>AY</x:v>
      </x:c>
    </x:row>
    <x:row r="17" ht="16.5" customHeight="1">
      <x:c r="A17" s="319" t="str">
        <x:v>SKU0633</x:v>
      </x:c>
      <x:c r="B17" s="344" t="str">
        <x:v>Product 0633</x:v>
      </x:c>
      <x:c r="C17" s="320" t="n">
        <x:v>1526.4862</x:v>
      </x:c>
      <x:c r="D17" s="321" t="n">
        <x:v>0.0066</x:v>
      </x:c>
      <x:c r="E17" s="321" t="n">
        <x:v>0.1771</x:v>
      </x:c>
      <x:c r="F17" s="344" t="str">
        <x:v>A</x:v>
      </x:c>
      <x:c r="G17" s="348" t="n">
        <x:v>51.9333</x:v>
      </x:c>
      <x:c r="H17" s="348" t="n">
        <x:v>0.4067</x:v>
      </x:c>
      <x:c r="I17" s="344" t="str">
        <x:v>X</x:v>
      </x:c>
      <x:c r="J17" s="349" t="str">
        <x:v>AX</x:v>
      </x:c>
    </x:row>
    <x:row r="18" ht="16.5" customHeight="1">
      <x:c r="A18" s="332" t="str">
        <x:v>SKU0655</x:v>
      </x:c>
      <x:c r="B18" s="345" t="str">
        <x:v>Product 0655</x:v>
      </x:c>
      <x:c r="C18" s="333" t="n">
        <x:v>1519.0826</x:v>
      </x:c>
      <x:c r="D18" s="334" t="n">
        <x:v>0.0066</x:v>
      </x:c>
      <x:c r="E18" s="334" t="n">
        <x:v>0.1837</x:v>
      </x:c>
      <x:c r="F18" s="345" t="str">
        <x:v>A</x:v>
      </x:c>
      <x:c r="G18" s="350" t="n">
        <x:v>63.4</x:v>
      </x:c>
      <x:c r="H18" s="350" t="n">
        <x:v>1.052</x:v>
      </x:c>
      <x:c r="I18" s="345" t="str">
        <x:v>Z</x:v>
      </x:c>
      <x:c r="J18" s="351" t="str">
        <x:v>AZ</x:v>
      </x:c>
    </x:row>
    <x:row r="19" ht="16.5" customHeight="1">
      <x:c r="A19" s="319" t="str">
        <x:v>SKU0247</x:v>
      </x:c>
      <x:c r="B19" s="344" t="str">
        <x:v>Product 0247</x:v>
      </x:c>
      <x:c r="C19" s="320" t="n">
        <x:v>1490.846</x:v>
      </x:c>
      <x:c r="D19" s="321" t="n">
        <x:v>0.0064</x:v>
      </x:c>
      <x:c r="E19" s="321" t="n">
        <x:v>0.1901</x:v>
      </x:c>
      <x:c r="F19" s="344" t="str">
        <x:v>A</x:v>
      </x:c>
      <x:c r="G19" s="348" t="n">
        <x:v>67.2667</x:v>
      </x:c>
      <x:c r="H19" s="348" t="n">
        <x:v>0.2635</x:v>
      </x:c>
      <x:c r="I19" s="344" t="str">
        <x:v>X</x:v>
      </x:c>
      <x:c r="J19" s="349" t="str">
        <x:v>AX</x:v>
      </x:c>
    </x:row>
    <x:row r="20" ht="16.5" customHeight="1">
      <x:c r="A20" s="332" t="str">
        <x:v>SKU1322</x:v>
      </x:c>
      <x:c r="B20" s="345" t="str">
        <x:v>Product 1322</x:v>
      </x:c>
      <x:c r="C20" s="333" t="n">
        <x:v>1468.1787</x:v>
      </x:c>
      <x:c r="D20" s="334" t="n">
        <x:v>0.0063</x:v>
      </x:c>
      <x:c r="E20" s="334" t="n">
        <x:v>0.1965</x:v>
      </x:c>
      <x:c r="F20" s="345" t="str">
        <x:v>A</x:v>
      </x:c>
      <x:c r="G20" s="350" t="n">
        <x:v>71.4</x:v>
      </x:c>
      <x:c r="H20" s="350" t="n">
        <x:v>0.4621</x:v>
      </x:c>
      <x:c r="I20" s="345" t="str">
        <x:v>X</x:v>
      </x:c>
      <x:c r="J20" s="351" t="str">
        <x:v>AX</x:v>
      </x:c>
    </x:row>
    <x:row r="21" ht="16.5" customHeight="1">
      <x:c r="A21" s="319" t="str">
        <x:v>SKU1384</x:v>
      </x:c>
      <x:c r="B21" s="344" t="str">
        <x:v>Product 1384</x:v>
      </x:c>
      <x:c r="C21" s="320" t="n">
        <x:v>1456.8492</x:v>
      </x:c>
      <x:c r="D21" s="321" t="n">
        <x:v>0.0063</x:v>
      </x:c>
      <x:c r="E21" s="321" t="n">
        <x:v>0.2027</x:v>
      </x:c>
      <x:c r="F21" s="344" t="str">
        <x:v>A</x:v>
      </x:c>
      <x:c r="G21" s="348" t="n">
        <x:v>115.6</x:v>
      </x:c>
      <x:c r="H21" s="348" t="n">
        <x:v>0.8389</x:v>
      </x:c>
      <x:c r="I21" s="344" t="str">
        <x:v>Y</x:v>
      </x:c>
      <x:c r="J21" s="349" t="str">
        <x:v>AY</x:v>
      </x:c>
    </x:row>
    <x:row r="22" ht="16.5" customHeight="1">
      <x:c r="A22" s="332" t="str">
        <x:v>SKU0680</x:v>
      </x:c>
      <x:c r="B22" s="345" t="str">
        <x:v>Product 0680</x:v>
      </x:c>
      <x:c r="C22" s="333" t="n">
        <x:v>1424.529</x:v>
      </x:c>
      <x:c r="D22" s="334" t="n">
        <x:v>0.0061</x:v>
      </x:c>
      <x:c r="E22" s="334" t="n">
        <x:v>0.2089</x:v>
      </x:c>
      <x:c r="F22" s="345" t="str">
        <x:v>A</x:v>
      </x:c>
      <x:c r="G22" s="350" t="n">
        <x:v>32</x:v>
      </x:c>
      <x:c r="H22" s="350" t="n">
        <x:v>0.6791</x:v>
      </x:c>
      <x:c r="I22" s="345" t="str">
        <x:v>Y</x:v>
      </x:c>
      <x:c r="J22" s="351" t="str">
        <x:v>AY</x:v>
      </x:c>
    </x:row>
    <x:row r="23" ht="16.5" customHeight="1">
      <x:c r="A23" s="319" t="str">
        <x:v>SKU1323</x:v>
      </x:c>
      <x:c r="B23" s="344" t="str">
        <x:v>Product 1323</x:v>
      </x:c>
      <x:c r="C23" s="320" t="n">
        <x:v>1392.0179</x:v>
      </x:c>
      <x:c r="D23" s="321" t="n">
        <x:v>0.006</x:v>
      </x:c>
      <x:c r="E23" s="321" t="n">
        <x:v>0.2149</x:v>
      </x:c>
      <x:c r="F23" s="344" t="str">
        <x:v>A</x:v>
      </x:c>
      <x:c r="G23" s="348" t="n">
        <x:v>66.9333</x:v>
      </x:c>
      <x:c r="H23" s="348" t="n">
        <x:v>0.7643</x:v>
      </x:c>
      <x:c r="I23" s="344" t="str">
        <x:v>Y</x:v>
      </x:c>
      <x:c r="J23" s="349" t="str">
        <x:v>AY</x:v>
      </x:c>
    </x:row>
    <x:row r="24" ht="16.5" customHeight="1">
      <x:c r="A24" s="332" t="str">
        <x:v>SKU1327</x:v>
      </x:c>
      <x:c r="B24" s="345" t="str">
        <x:v>Product 1327</x:v>
      </x:c>
      <x:c r="C24" s="333" t="n">
        <x:v>1333.2539</x:v>
      </x:c>
      <x:c r="D24" s="334" t="n">
        <x:v>0.0057</x:v>
      </x:c>
      <x:c r="E24" s="334" t="n">
        <x:v>0.2206</x:v>
      </x:c>
      <x:c r="F24" s="345" t="str">
        <x:v>A</x:v>
      </x:c>
      <x:c r="G24" s="350" t="n">
        <x:v>64.2667</x:v>
      </x:c>
      <x:c r="H24" s="350" t="n">
        <x:v>0.7504</x:v>
      </x:c>
      <x:c r="I24" s="345" t="str">
        <x:v>Y</x:v>
      </x:c>
      <x:c r="J24" s="351" t="str">
        <x:v>AY</x:v>
      </x:c>
    </x:row>
    <x:row r="25" ht="16.5" customHeight="1">
      <x:c r="A25" s="319" t="str">
        <x:v>SKU0667</x:v>
      </x:c>
      <x:c r="B25" s="344" t="str">
        <x:v>Product 0667</x:v>
      </x:c>
      <x:c r="C25" s="320" t="n">
        <x:v>1240.4682</x:v>
      </x:c>
      <x:c r="D25" s="321" t="n">
        <x:v>0.0053</x:v>
      </x:c>
      <x:c r="E25" s="321" t="n">
        <x:v>0.226</x:v>
      </x:c>
      <x:c r="F25" s="344" t="str">
        <x:v>A</x:v>
      </x:c>
      <x:c r="G25" s="348" t="n">
        <x:v>20</x:v>
      </x:c>
      <x:c r="H25" s="348" t="n">
        <x:v>0.8675</x:v>
      </x:c>
      <x:c r="I25" s="344" t="str">
        <x:v>Y</x:v>
      </x:c>
      <x:c r="J25" s="349" t="str">
        <x:v>AY</x:v>
      </x:c>
    </x:row>
    <x:row r="26" ht="16.5" customHeight="1">
      <x:c r="A26" s="332" t="str">
        <x:v>SKU0841</x:v>
      </x:c>
      <x:c r="B26" s="345" t="str">
        <x:v>Product 0841</x:v>
      </x:c>
      <x:c r="C26" s="333" t="n">
        <x:v>1215.3109</x:v>
      </x:c>
      <x:c r="D26" s="334" t="n">
        <x:v>0.0052</x:v>
      </x:c>
      <x:c r="E26" s="334" t="n">
        <x:v>0.2312</x:v>
      </x:c>
      <x:c r="F26" s="345" t="str">
        <x:v>A</x:v>
      </x:c>
      <x:c r="G26" s="350" t="n">
        <x:v>284</x:v>
      </x:c>
      <x:c r="H26" s="350" t="n">
        <x:v>0.2714</x:v>
      </x:c>
      <x:c r="I26" s="345" t="str">
        <x:v>X</x:v>
      </x:c>
      <x:c r="J26" s="351" t="str">
        <x:v>AX</x:v>
      </x:c>
    </x:row>
    <x:row r="27" ht="16.5" customHeight="1">
      <x:c r="A27" s="319" t="str">
        <x:v>SKU0803</x:v>
      </x:c>
      <x:c r="B27" s="344" t="str">
        <x:v>Product 0803</x:v>
      </x:c>
      <x:c r="C27" s="320" t="n">
        <x:v>1175.8195</x:v>
      </x:c>
      <x:c r="D27" s="321" t="n">
        <x:v>0.0051</x:v>
      </x:c>
      <x:c r="E27" s="321" t="n">
        <x:v>0.2363</x:v>
      </x:c>
      <x:c r="F27" s="344" t="str">
        <x:v>A</x:v>
      </x:c>
      <x:c r="G27" s="348" t="n">
        <x:v>60</x:v>
      </x:c>
      <x:c r="H27" s="348" t="n">
        <x:v>0.6235</x:v>
      </x:c>
      <x:c r="I27" s="344" t="str">
        <x:v>Y</x:v>
      </x:c>
      <x:c r="J27" s="349" t="str">
        <x:v>AY</x:v>
      </x:c>
    </x:row>
    <x:row r="28" ht="16.5" customHeight="1">
      <x:c r="A28" s="332" t="str">
        <x:v>SKU0941</x:v>
      </x:c>
      <x:c r="B28" s="345" t="str">
        <x:v>Product 0941</x:v>
      </x:c>
      <x:c r="C28" s="333" t="n">
        <x:v>1156.0074</x:v>
      </x:c>
      <x:c r="D28" s="334" t="n">
        <x:v>0.005</x:v>
      </x:c>
      <x:c r="E28" s="334" t="n">
        <x:v>0.2413</x:v>
      </x:c>
      <x:c r="F28" s="345" t="str">
        <x:v>A</x:v>
      </x:c>
      <x:c r="G28" s="350" t="n">
        <x:v>5.7333</x:v>
      </x:c>
      <x:c r="H28" s="350" t="n">
        <x:v>1.1001</x:v>
      </x:c>
      <x:c r="I28" s="345" t="str">
        <x:v>Z</x:v>
      </x:c>
      <x:c r="J28" s="351" t="str">
        <x:v>AZ</x:v>
      </x:c>
    </x:row>
    <x:row r="29" ht="16.5" customHeight="1">
      <x:c r="A29" s="319" t="str">
        <x:v>SKU0731</x:v>
      </x:c>
      <x:c r="B29" s="344" t="str">
        <x:v>Product 0731</x:v>
      </x:c>
      <x:c r="C29" s="320" t="n">
        <x:v>1119.919</x:v>
      </x:c>
      <x:c r="D29" s="321" t="n">
        <x:v>0.0048</x:v>
      </x:c>
      <x:c r="E29" s="321" t="n">
        <x:v>0.2461</x:v>
      </x:c>
      <x:c r="F29" s="344" t="str">
        <x:v>A</x:v>
      </x:c>
      <x:c r="G29" s="348" t="n">
        <x:v>21.7333</x:v>
      </x:c>
      <x:c r="H29" s="348" t="n">
        <x:v>1.4473</x:v>
      </x:c>
      <x:c r="I29" s="344" t="str">
        <x:v>Z</x:v>
      </x:c>
      <x:c r="J29" s="349" t="str">
        <x:v>AZ</x:v>
      </x:c>
    </x:row>
    <x:row r="30" ht="16.5" customHeight="1">
      <x:c r="A30" s="332" t="str">
        <x:v>SKU0546</x:v>
      </x:c>
      <x:c r="B30" s="345" t="str">
        <x:v>Product 0546</x:v>
      </x:c>
      <x:c r="C30" s="333" t="n">
        <x:v>1110.9882</x:v>
      </x:c>
      <x:c r="D30" s="334" t="n">
        <x:v>0.0048</x:v>
      </x:c>
      <x:c r="E30" s="334" t="n">
        <x:v>0.2509</x:v>
      </x:c>
      <x:c r="F30" s="345" t="str">
        <x:v>A</x:v>
      </x:c>
      <x:c r="G30" s="350" t="n">
        <x:v>9.4</x:v>
      </x:c>
      <x:c r="H30" s="350" t="n">
        <x:v>2.0435</x:v>
      </x:c>
      <x:c r="I30" s="345" t="str">
        <x:v>Z</x:v>
      </x:c>
      <x:c r="J30" s="351" t="str">
        <x:v>AZ</x:v>
      </x:c>
    </x:row>
    <x:row r="31" ht="16.5" customHeight="1">
      <x:c r="A31" s="319" t="str">
        <x:v>SKU1485</x:v>
      </x:c>
      <x:c r="B31" s="344" t="str">
        <x:v>Product 1485</x:v>
      </x:c>
      <x:c r="C31" s="320" t="n">
        <x:v>1083.7061</x:v>
      </x:c>
      <x:c r="D31" s="321" t="n">
        <x:v>0.0047</x:v>
      </x:c>
      <x:c r="E31" s="321" t="n">
        <x:v>0.2556</x:v>
      </x:c>
      <x:c r="F31" s="344" t="str">
        <x:v>A</x:v>
      </x:c>
      <x:c r="G31" s="348" t="n">
        <x:v>289.6</x:v>
      </x:c>
      <x:c r="H31" s="348" t="n">
        <x:v>0.5019</x:v>
      </x:c>
      <x:c r="I31" s="344" t="str">
        <x:v>Y</x:v>
      </x:c>
      <x:c r="J31" s="349" t="str">
        <x:v>AY</x:v>
      </x:c>
    </x:row>
  </x:sheetData>
  <x:conditionalFormatting sqref="J2:J31">
    <x:cfRule type="containsText" dxfId="0" priority="1" operator="containsText" text="Z"/>
    <x:cfRule type="containsText" dxfId="1" priority="2" operator="containsText" text="X"/>
  </x:conditionalFormatting>
  <x:pageMargins left="0.7" right="0.7" top="0.75" bottom="0.75" header="0.3" footer="0.3"/>
  <x:tableParts count="1">
    <x:tablePart xmlns:r="http://schemas.openxmlformats.org/officeDocument/2006/relationships" r:id="R3b54fd8a9f45478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13.329999923706055" hidden="0" customWidth="1"/>
    <x:col min="3" max="3" width="13.329999923706055" hidden="0" customWidth="1"/>
    <x:col min="4" max="4" width="13.329999923706055" hidden="0" customWidth="1"/>
    <x:col min="5" max="5" width="13.329999923706055" hidden="0" customWidth="1"/>
    <x:col min="6" max="6" width="13.329999923706055" hidden="0" customWidth="1"/>
    <x:col min="7" max="7" width="13.329999923706055" hidden="0" customWidth="1"/>
    <x:col min="8" max="8" width="13.329999923706055" hidden="0" customWidth="1"/>
  </x:cols>
  <x:sheetData>
    <x:row r="1" ht="25.5" customHeight="1">
      <x:c r="A1" s="370" t="str">
        <x:v>Project notes</x:v>
      </x:c>
      <x:c r="B1" s="370"/>
      <x:c r="C1" s="370"/>
      <x:c r="D1" s="370"/>
      <x:c r="E1" s="370"/>
      <x:c r="F1" s="370"/>
      <x:c r="G1" s="370"/>
      <x:c r="H1" s="370"/>
    </x:row>
    <x:row r="2">
      <x:c r="A2" s="361"/>
      <x:c r="B2" s="361"/>
      <x:c r="C2" s="361"/>
      <x:c r="D2" s="361"/>
      <x:c r="E2" s="361"/>
      <x:c r="F2" s="361"/>
      <x:c r="G2" s="361"/>
      <x:c r="H2" s="361"/>
    </x:row>
    <x:row r="3" ht="24" customHeight="1">
      <x:c r="A3" s="371" t="str">
        <x:v>Why I built the analysis this way</x:v>
      </x:c>
      <x:c r="B3" s="371"/>
      <x:c r="C3" s="371"/>
      <x:c r="D3" s="371"/>
      <x:c r="E3" s="371"/>
      <x:c r="F3" s="371"/>
      <x:c r="G3" s="371"/>
      <x:c r="H3" s="371"/>
    </x:row>
    <x:row r="4">
      <x:c r="A4" s="363"/>
      <x:c r="B4" s="363"/>
      <x:c r="C4" s="363"/>
      <x:c r="D4" s="363"/>
      <x:c r="E4" s="363"/>
      <x:c r="F4" s="363"/>
      <x:c r="G4" s="363"/>
      <x:c r="H4" s="363"/>
    </x:row>
    <x:row r="5" ht="28.5" customHeight="1">
      <x:c r="A5" s="375" t="str">
        <x:v>Starting point</x:v>
      </x:c>
      <x:c r="B5" s="377" t="str">
        <x:v>I had monthly exports that were useful separately but difficult to compare over time. I combined them into one consistent dataset.</x:v>
      </x:c>
      <x:c r="C5" s="377"/>
      <x:c r="D5" s="377"/>
      <x:c r="E5" s="377"/>
      <x:c r="F5" s="377"/>
      <x:c r="G5" s="377"/>
      <x:c r="H5" s="377"/>
    </x:row>
    <x:row r="6" ht="28.5" customHeight="1">
      <x:c r="A6" s="375" t="str">
        <x:v>Data</x:v>
      </x:c>
      <x:c r="B6" s="379" t="str">
        <x:v>154,695 sales lines, 15 months and 1,044 sold SKUs.</x:v>
      </x:c>
      <x:c r="C6" s="379"/>
      <x:c r="D6" s="379"/>
      <x:c r="E6" s="379"/>
      <x:c r="F6" s="379"/>
      <x:c r="G6" s="379"/>
      <x:c r="H6" s="379"/>
    </x:row>
    <x:row r="7" ht="28.5" customHeight="1">
      <x:c r="A7" s="375" t="str">
        <x:v>Main choice</x:v>
      </x:c>
      <x:c r="B7" s="379" t="str">
        <x:v>I kept wholesale separate. A few large warehouse invoices made retail receipt values and store comparisons misleading.</x:v>
      </x:c>
      <x:c r="C7" s="379"/>
      <x:c r="D7" s="379"/>
      <x:c r="E7" s="379"/>
      <x:c r="F7" s="379"/>
      <x:c r="G7" s="379"/>
      <x:c r="H7" s="379"/>
    </x:row>
    <x:row r="8" ht="28.5" customHeight="1">
      <x:c r="A8" s="375" t="str">
        <x:v>Cleaning</x:v>
      </x:c>
      <x:c r="B8" s="379" t="str">
        <x:v>I checked dates and product codes, removed personal fields, anonymized commercial data and kept negative return lines.</x:v>
      </x:c>
      <x:c r="C8" s="379"/>
      <x:c r="D8" s="379"/>
      <x:c r="E8" s="379"/>
      <x:c r="F8" s="379"/>
      <x:c r="G8" s="379"/>
      <x:c r="H8" s="379"/>
    </x:row>
    <x:row r="9" ht="28.5" customHeight="1">
      <x:c r="A9" s="375" t="str">
        <x:v>Result</x:v>
      </x:c>
      <x:c r="B9" s="379" t="str">
        <x:v>May–July 2026 revenue was 22.4% below the same period in 2025. Full-period margin was 35.3%.</x:v>
      </x:c>
      <x:c r="C9" s="379"/>
      <x:c r="D9" s="379"/>
      <x:c r="E9" s="379"/>
      <x:c r="F9" s="379"/>
      <x:c r="G9" s="379"/>
      <x:c r="H9" s="379"/>
    </x:row>
    <x:row r="10" ht="28.5" customHeight="1">
      <x:c r="A10" s="375" t="str">
        <x:v>What I would add</x:v>
      </x:c>
      <x:c r="B10" s="379" t="str">
        <x:v>Receipts from suppliers, transfers, write-offs, pack sizes and real lead times would make the stock model operational.</x:v>
      </x:c>
      <x:c r="C10" s="379"/>
      <x:c r="D10" s="379"/>
      <x:c r="E10" s="379"/>
      <x:c r="F10" s="379"/>
      <x:c r="G10" s="379"/>
      <x:c r="H10" s="379"/>
    </x:row>
    <x:row r="11" ht="28.5" customHeight="1">
      <x:c r="A11" s="375" t="str">
        <x:v>Files</x:v>
      </x:c>
      <x:c r="B11" s="379" t="str">
        <x:v>The cleaned CSV supports SQL and Power BI; this workbook is the Excel version of the same analysis.</x:v>
      </x:c>
      <x:c r="C11" s="379"/>
      <x:c r="D11" s="379"/>
      <x:c r="E11" s="379"/>
      <x:c r="F11" s="379"/>
      <x:c r="G11" s="379"/>
      <x:c r="H11" s="379"/>
    </x:row>
  </x:sheetData>
  <x:mergeCells>
    <x:mergeCell ref="A1:H2"/>
    <x:mergeCell ref="A3:H3"/>
    <x:mergeCell ref="B5:H5"/>
    <x:mergeCell ref="B6:H6"/>
    <x:mergeCell ref="B7:H7"/>
    <x:mergeCell ref="B8:H8"/>
    <x:mergeCell ref="B9:H9"/>
    <x:mergeCell ref="B10:H10"/>
    <x:mergeCell ref="B11:H11"/>
    <x:mergeCell ref="A1:H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440000534057617" hidden="0" customWidth="1"/>
    <x:col min="2" max="2" width="53.33000183105469" hidden="0" customWidth="1"/>
  </x:cols>
  <x:sheetData>
    <x:row r="1">
      <x:c r="A1" s="331" t="str">
        <x:v>Field</x:v>
      </x:c>
      <x:c r="B1" s="331" t="str">
        <x:v>Meaning</x:v>
      </x:c>
    </x:row>
    <x:row r="2" ht="16.5" customHeight="1">
      <x:c r="A2" s="332" t="str">
        <x:v>transaction_id</x:v>
      </x:c>
      <x:c r="B2" s="380" t="str">
        <x:v>Anonymized receipt/invoice identifier</x:v>
      </x:c>
    </x:row>
    <x:row r="3" ht="16.5" customHeight="1">
      <x:c r="A3" s="319" t="str">
        <x:v>date / time</x:v>
      </x:c>
      <x:c r="B3" s="381" t="str">
        <x:v>Transaction date and time</x:v>
      </x:c>
    </x:row>
    <x:row r="4" ht="16.5" customHeight="1">
      <x:c r="A4" s="332" t="str">
        <x:v>sku</x:v>
      </x:c>
      <x:c r="B4" s="380" t="str">
        <x:v>Anonymized product identifier</x:v>
      </x:c>
    </x:row>
    <x:row r="5" ht="16.5" customHeight="1">
      <x:c r="A5" s="319" t="str">
        <x:v>location</x:v>
      </x:c>
      <x:c r="B5" s="381" t="str">
        <x:v>Anonymized store or warehouse</x:v>
      </x:c>
    </x:row>
    <x:row r="6" ht="16.5" customHeight="1">
      <x:c r="A6" s="332" t="str">
        <x:v>channel</x:v>
      </x:c>
      <x:c r="B6" s="380" t="str">
        <x:v>Retail or Wholesale</x:v>
      </x:c>
    </x:row>
    <x:row r="7" ht="16.5" customHeight="1">
      <x:c r="A7" s="319" t="str">
        <x:v>quantity</x:v>
      </x:c>
      <x:c r="B7" s="381" t="str">
        <x:v>Units sold; negative values represent returns</x:v>
      </x:c>
    </x:row>
    <x:row r="8" ht="16.5" customHeight="1">
      <x:c r="A8" s="332" t="str">
        <x:v>gross_revenue</x:v>
      </x:c>
      <x:c r="B8" s="380" t="str">
        <x:v>Revenue including VAT, transformed by a constant factor</x:v>
      </x:c>
    </x:row>
    <x:row r="9" ht="16.5" customHeight="1">
      <x:c r="A9" s="319" t="str">
        <x:v>net_revenue</x:v>
      </x:c>
      <x:c r="B9" s="381" t="str">
        <x:v>Revenue excluding VAT</x:v>
      </x:c>
    </x:row>
    <x:row r="10" ht="16.5" customHeight="1">
      <x:c r="A10" s="332" t="str">
        <x:v>cost</x:v>
      </x:c>
      <x:c r="B10" s="380" t="str">
        <x:v>Cost of sold items</x:v>
      </x:c>
    </x:row>
    <x:row r="11" ht="16.5" customHeight="1">
      <x:c r="A11" s="319" t="str">
        <x:v>gross_profit</x:v>
      </x:c>
      <x:c r="B11" s="381" t="str">
        <x:v>Revenue less cost according to source report</x:v>
      </x:c>
    </x:row>
    <x:row r="12" ht="16.5" customHeight="1">
      <x:c r="A12" s="332" t="str">
        <x:v>discount_amount</x:v>
      </x:c>
      <x:c r="B12" s="380" t="str">
        <x:v>Discount value</x:v>
      </x:c>
    </x:row>
    <x:row r="13" ht="16.5" customHeight="1">
      <x:c r="A13" s="319" t="str">
        <x:v>discount_pct</x:v>
      </x:c>
      <x:c r="B13" s="381" t="str">
        <x:v>Source line discount percentage</x:v>
      </x:c>
    </x:row>
    <x:row r="14" ht="16.5" customHeight="1">
      <x:c r="A14" s="332" t="str">
        <x:v>is_return</x:v>
      </x:c>
      <x:c r="B14" s="380" t="str">
        <x:v>Return flag based on negative quantity or revenue</x:v>
      </x:c>
    </x:row>
  </x:sheetData>
  <x:pageMargins left="0.7" right="0.7" top="0.75" bottom="0.75" header="0.3" footer="0.3"/>
</x:worksheet>
</file>